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Lancamentos" sheetId="2" state="visible" r:id="rId4"/>
    <sheet name="Resumo" sheetId="3" state="visible" r:id="rId5"/>
    <sheet name="Gabarito (Instrutor)" sheetId="4" state="visible" r:id="rId6"/>
  </sheets>
  <definedNames>
    <definedName function="false" hidden="true" localSheetId="1" name="_xlnm._FilterDatabase" vbProcedure="false">Lancamentos!$A$1:$H$104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<sst xmlns="http://schemas.openxmlformats.org/spreadsheetml/2006/main" count="702" uniqueCount="211">
  <si>
    <t xml:space="preserve">ANÁLISE FINANCEIRA COM IA — Planilha de Apoio</t>
  </si>
  <si>
    <t xml:space="preserve">Curso de Capacitação em IA · Exercício de Análise de Dados</t>
  </si>
  <si>
    <t xml:space="preserve">COMO USAR</t>
  </si>
  <si>
    <t xml:space="preserve">1. Abra a aba "Lancamentos": é a base de dados (receitas e despesas de Jan–Mar/2026).</t>
  </si>
  <si>
    <t xml:space="preserve">2. Faça upload deste arquivo na ferramenta de IA OU copie e cole os dados da aba "Lancamentos".</t>
  </si>
  <si>
    <t xml:space="preserve">3. Cole o prompt abaixo, preenchendo os campos entre colchetes.</t>
  </si>
  <si>
    <t xml:space="preserve">4. Compare a resposta da IA com a aba "Gabarito (Instrutor)" — ela lista o que foi plantado nos dados.</t>
  </si>
  <si>
    <t xml:space="preserve">DADOS DE CONTEXTO (para preencher no prompt)</t>
  </si>
  <si>
    <t xml:space="preserve">Período analisado: JAN–MAR 2026</t>
  </si>
  <si>
    <t xml:space="preserve">Tipo de negócio: VAREJO (loja física + e-commerce)</t>
  </si>
  <si>
    <t xml:space="preserve">Faturamento médio mensal: ~ R$ 254.667 (Jan 268k · Fev 255k · Mar 241k)</t>
  </si>
  <si>
    <t xml:space="preserve">PROMPT (copie e cole)</t>
  </si>
  <si>
    <t xml:space="preserve">Você é um analista financeiro sênior especializado em gestão de custos e auditoria interna. Analise os dados financeiros abaixo e entregue um relatório executivo:
Período analisado: [JAN–MAR 2026]
Tipo de negócio: [VAREJO]
Faturamento médio mensal: [~R$ 254.000]
Por favor, analise e entregue:
1. VISÃO GERAL — resumo financeiro em 5 linhas
2. TOP 5 DESPESAS — maiores gastos com % do total
3. ANOMALIAS — valores fora do padrão, duplicatas, picos inexplicados
4. TENDÊNCIAS — o que está crescendo ou diminuindo ao longo do período
5. ALERTAS CRÍTICOS — qualquer sinal de problema financeiro
6. OPORTUNIDADES — onde posso reduzir custos sem prejudicar a operação
7. RECOMENDAÇÕES — 3 ações práticas para os próximos 30 dias
--- DADOS:
[COLE OS DADOS DA ABA "Lancamentos" OU INFORME QUE FEZ UPLOAD DO ARQUIVO]</t>
  </si>
  <si>
    <t xml:space="preserve">Data</t>
  </si>
  <si>
    <t xml:space="preserve">Mês</t>
  </si>
  <si>
    <t xml:space="preserve">Tipo</t>
  </si>
  <si>
    <t xml:space="preserve">Categoria</t>
  </si>
  <si>
    <t xml:space="preserve">Descrição / Fornecedor</t>
  </si>
  <si>
    <t xml:space="preserve">Documento</t>
  </si>
  <si>
    <t xml:space="preserve">Forma de Pagamento</t>
  </si>
  <si>
    <t xml:space="preserve">Valor (R$)</t>
  </si>
  <si>
    <t xml:space="preserve">Jan/2026</t>
  </si>
  <si>
    <t xml:space="preserve">Despesa</t>
  </si>
  <si>
    <t xml:space="preserve">Software e Assinaturas</t>
  </si>
  <si>
    <t xml:space="preserve">ERP / gestão</t>
  </si>
  <si>
    <t xml:space="preserve">SW-011</t>
  </si>
  <si>
    <t xml:space="preserve">Cartão corporativo</t>
  </si>
  <si>
    <t xml:space="preserve">Suite de produtividade</t>
  </si>
  <si>
    <t xml:space="preserve">SW-012</t>
  </si>
  <si>
    <t xml:space="preserve">Despesas Bancárias</t>
  </si>
  <si>
    <t xml:space="preserve">Tarifas de conta</t>
  </si>
  <si>
    <t xml:space="preserve">BC-011</t>
  </si>
  <si>
    <t xml:space="preserve">Débito</t>
  </si>
  <si>
    <t xml:space="preserve">Mercadorias para Revenda (CMV)</t>
  </si>
  <si>
    <t xml:space="preserve">Beta Atacado S.A.</t>
  </si>
  <si>
    <t xml:space="preserve">NF 84830</t>
  </si>
  <si>
    <t xml:space="preserve">Boleto</t>
  </si>
  <si>
    <t xml:space="preserve">Receita</t>
  </si>
  <si>
    <t xml:space="preserve">Vendas - Loja Física</t>
  </si>
  <si>
    <t xml:space="preserve">Recebimento Loja Física - semana 1</t>
  </si>
  <si>
    <t xml:space="preserve">REC-0101</t>
  </si>
  <si>
    <t xml:space="preserve">Cartão/PIX</t>
  </si>
  <si>
    <t xml:space="preserve">Vendas - E-commerce</t>
  </si>
  <si>
    <t xml:space="preserve">Recebimento E-commerce - semana 1</t>
  </si>
  <si>
    <t xml:space="preserve">Gateway online</t>
  </si>
  <si>
    <t xml:space="preserve">Folha de Pagamento</t>
  </si>
  <si>
    <t xml:space="preserve">Folha 1ª quinzena</t>
  </si>
  <si>
    <t xml:space="preserve">FP-011</t>
  </si>
  <si>
    <t xml:space="preserve">Transferência</t>
  </si>
  <si>
    <t xml:space="preserve">Encargos Sociais (INSS/FGTS)</t>
  </si>
  <si>
    <t xml:space="preserve">ENC-01</t>
  </si>
  <si>
    <t xml:space="preserve">Aluguel</t>
  </si>
  <si>
    <t xml:space="preserve">ALU-01</t>
  </si>
  <si>
    <t xml:space="preserve">Telefone e Internet</t>
  </si>
  <si>
    <t xml:space="preserve">TEL-01</t>
  </si>
  <si>
    <t xml:space="preserve">Manutenção e Reparos</t>
  </si>
  <si>
    <t xml:space="preserve">MAN-01</t>
  </si>
  <si>
    <t xml:space="preserve">Contabilidade</t>
  </si>
  <si>
    <t xml:space="preserve">CON-01</t>
  </si>
  <si>
    <t xml:space="preserve">Limpeza e Conservação</t>
  </si>
  <si>
    <t xml:space="preserve">LIM-01</t>
  </si>
  <si>
    <t xml:space="preserve">Seguros</t>
  </si>
  <si>
    <t xml:space="preserve">SEG-01</t>
  </si>
  <si>
    <t xml:space="preserve">Frete e Logística</t>
  </si>
  <si>
    <t xml:space="preserve">Transportadora Rota Sul</t>
  </si>
  <si>
    <t xml:space="preserve">CTE-011</t>
  </si>
  <si>
    <t xml:space="preserve">Marketing e Publicidade</t>
  </si>
  <si>
    <t xml:space="preserve">Mídia paga / impulsionamento</t>
  </si>
  <si>
    <t xml:space="preserve">MKT-011</t>
  </si>
  <si>
    <t xml:space="preserve">Delta Suprimentos</t>
  </si>
  <si>
    <t xml:space="preserve">NF 83434</t>
  </si>
  <si>
    <t xml:space="preserve">Energia Elétrica</t>
  </si>
  <si>
    <t xml:space="preserve">Concessionária de Energia</t>
  </si>
  <si>
    <t xml:space="preserve">EE-01</t>
  </si>
  <si>
    <t xml:space="preserve">Débito automático</t>
  </si>
  <si>
    <t xml:space="preserve">Recebimento Loja Física - semana 2</t>
  </si>
  <si>
    <t xml:space="preserve">REC-0102</t>
  </si>
  <si>
    <t xml:space="preserve">Recebimento E-commerce - semana 2</t>
  </si>
  <si>
    <t xml:space="preserve">Água e Esgoto</t>
  </si>
  <si>
    <t xml:space="preserve">Companhia de Saneamento</t>
  </si>
  <si>
    <t xml:space="preserve">AG-01</t>
  </si>
  <si>
    <t xml:space="preserve">Material de Escritório</t>
  </si>
  <si>
    <t xml:space="preserve">Papelaria Universo</t>
  </si>
  <si>
    <t xml:space="preserve">NF 77100</t>
  </si>
  <si>
    <t xml:space="preserve">Atacadão Central</t>
  </si>
  <si>
    <t xml:space="preserve">NF 33688</t>
  </si>
  <si>
    <t xml:space="preserve">Recebimento Loja Física - semana 3</t>
  </si>
  <si>
    <t xml:space="preserve">REC-0103</t>
  </si>
  <si>
    <t xml:space="preserve">Recebimento E-commerce - semana 3</t>
  </si>
  <si>
    <t xml:space="preserve">Folha 2ª quinzena</t>
  </si>
  <si>
    <t xml:space="preserve">FP-012</t>
  </si>
  <si>
    <t xml:space="preserve">Impostos - Simples Nacional (DAS)</t>
  </si>
  <si>
    <t xml:space="preserve">DAS - competência anterior</t>
  </si>
  <si>
    <t xml:space="preserve">DAS-01</t>
  </si>
  <si>
    <t xml:space="preserve">DARF</t>
  </si>
  <si>
    <t xml:space="preserve">CTE-012</t>
  </si>
  <si>
    <t xml:space="preserve">NF 86231</t>
  </si>
  <si>
    <t xml:space="preserve">Material de Embalagem</t>
  </si>
  <si>
    <t xml:space="preserve">EmbalaMais Ltda</t>
  </si>
  <si>
    <t xml:space="preserve">NF 64804</t>
  </si>
  <si>
    <t xml:space="preserve">Recebimento Loja Física - semana 4</t>
  </si>
  <si>
    <t xml:space="preserve">REC-0104</t>
  </si>
  <si>
    <t xml:space="preserve">Taxas de Cartão/Maquininha</t>
  </si>
  <si>
    <t xml:space="preserve">Taxa adquirente (crédito)</t>
  </si>
  <si>
    <t xml:space="preserve">TX-011</t>
  </si>
  <si>
    <t xml:space="preserve">Desconto</t>
  </si>
  <si>
    <t xml:space="preserve">Taxa adquirente (débito)</t>
  </si>
  <si>
    <t xml:space="preserve">TX-012</t>
  </si>
  <si>
    <t xml:space="preserve">Fev/2026</t>
  </si>
  <si>
    <t xml:space="preserve">SW-021</t>
  </si>
  <si>
    <t xml:space="preserve">SW-022</t>
  </si>
  <si>
    <t xml:space="preserve">BC-021</t>
  </si>
  <si>
    <t xml:space="preserve">REC-0201</t>
  </si>
  <si>
    <t xml:space="preserve">FP-021</t>
  </si>
  <si>
    <t xml:space="preserve">NF 18229</t>
  </si>
  <si>
    <t xml:space="preserve">ENC-02</t>
  </si>
  <si>
    <t xml:space="preserve">ALU-02</t>
  </si>
  <si>
    <t xml:space="preserve">TEL-02</t>
  </si>
  <si>
    <t xml:space="preserve">MAN-02</t>
  </si>
  <si>
    <t xml:space="preserve">CON-02</t>
  </si>
  <si>
    <t xml:space="preserve">LIM-02</t>
  </si>
  <si>
    <t xml:space="preserve">SEG-02</t>
  </si>
  <si>
    <t xml:space="preserve">CTE-021</t>
  </si>
  <si>
    <t xml:space="preserve">MKT-021</t>
  </si>
  <si>
    <t xml:space="preserve">EE-02</t>
  </si>
  <si>
    <t xml:space="preserve">Alfa Distribuidora Ltda</t>
  </si>
  <si>
    <t xml:space="preserve">NF 04532</t>
  </si>
  <si>
    <t xml:space="preserve">REC-0202</t>
  </si>
  <si>
    <t xml:space="preserve">AG-02</t>
  </si>
  <si>
    <t xml:space="preserve">Importadora Gamma</t>
  </si>
  <si>
    <t xml:space="preserve">NF 17812</t>
  </si>
  <si>
    <t xml:space="preserve">Tech Móveis e Equip. (compra avulsa)</t>
  </si>
  <si>
    <t xml:space="preserve">NF 97584</t>
  </si>
  <si>
    <t xml:space="preserve">REC-0203</t>
  </si>
  <si>
    <t xml:space="preserve">FP-022</t>
  </si>
  <si>
    <t xml:space="preserve">DAS-02</t>
  </si>
  <si>
    <t xml:space="preserve">CTE-022</t>
  </si>
  <si>
    <t xml:space="preserve">NF 36995</t>
  </si>
  <si>
    <t xml:space="preserve">NF 20173</t>
  </si>
  <si>
    <t xml:space="preserve">REC-0204</t>
  </si>
  <si>
    <t xml:space="preserve">TX-021</t>
  </si>
  <si>
    <t xml:space="preserve">TX-022</t>
  </si>
  <si>
    <t xml:space="preserve">Mar/2026</t>
  </si>
  <si>
    <t xml:space="preserve">SW-031</t>
  </si>
  <si>
    <t xml:space="preserve">SW-032</t>
  </si>
  <si>
    <t xml:space="preserve">BC-031</t>
  </si>
  <si>
    <t xml:space="preserve">Omega Distribuidora</t>
  </si>
  <si>
    <t xml:space="preserve">NF 57393</t>
  </si>
  <si>
    <t xml:space="preserve">REC-0301</t>
  </si>
  <si>
    <t xml:space="preserve">FP-031</t>
  </si>
  <si>
    <t xml:space="preserve">ENC-03</t>
  </si>
  <si>
    <t xml:space="preserve">ALU-03</t>
  </si>
  <si>
    <t xml:space="preserve">TEL-03</t>
  </si>
  <si>
    <t xml:space="preserve">MAN-03</t>
  </si>
  <si>
    <t xml:space="preserve">CON-03</t>
  </si>
  <si>
    <t xml:space="preserve">LIM-03</t>
  </si>
  <si>
    <t xml:space="preserve">SEG-03</t>
  </si>
  <si>
    <t xml:space="preserve">CTE-031</t>
  </si>
  <si>
    <t xml:space="preserve">MKT-031</t>
  </si>
  <si>
    <t xml:space="preserve">NF 42561</t>
  </si>
  <si>
    <t xml:space="preserve">EE-03</t>
  </si>
  <si>
    <t xml:space="preserve">REC-0302</t>
  </si>
  <si>
    <t xml:space="preserve">AG-03</t>
  </si>
  <si>
    <t xml:space="preserve">Consultoria</t>
  </si>
  <si>
    <t xml:space="preserve">Consultoria estratégica (fornecedor avulso)</t>
  </si>
  <si>
    <t xml:space="preserve">NF 00021</t>
  </si>
  <si>
    <t xml:space="preserve">NF 55898</t>
  </si>
  <si>
    <t xml:space="preserve">Comercial Sigma Ltda</t>
  </si>
  <si>
    <t xml:space="preserve">NF 41994</t>
  </si>
  <si>
    <t xml:space="preserve">Campanha Influencer - Agência XPTO (avulso)</t>
  </si>
  <si>
    <t xml:space="preserve">MKT-032</t>
  </si>
  <si>
    <t xml:space="preserve">REC-0303</t>
  </si>
  <si>
    <t xml:space="preserve">FP-032</t>
  </si>
  <si>
    <t xml:space="preserve">DAS-03</t>
  </si>
  <si>
    <t xml:space="preserve">CTE-032</t>
  </si>
  <si>
    <t xml:space="preserve">NF 85290</t>
  </si>
  <si>
    <t xml:space="preserve">Tarifa não identificada</t>
  </si>
  <si>
    <t xml:space="preserve">BC-032</t>
  </si>
  <si>
    <t xml:space="preserve">NF 87905</t>
  </si>
  <si>
    <t xml:space="preserve">REC-0304</t>
  </si>
  <si>
    <t xml:space="preserve">TX-031</t>
  </si>
  <si>
    <t xml:space="preserve">TX-032</t>
  </si>
  <si>
    <t xml:space="preserve">Total Receitas</t>
  </si>
  <si>
    <t xml:space="preserve">Total Despesas</t>
  </si>
  <si>
    <t xml:space="preserve">Resultado</t>
  </si>
  <si>
    <t xml:space="preserve">RESUMO MENSAL — JAN a MAR/2026</t>
  </si>
  <si>
    <t xml:space="preserve">Total Tri.</t>
  </si>
  <si>
    <t xml:space="preserve">% do Total</t>
  </si>
  <si>
    <t xml:space="preserve">RECEITAS</t>
  </si>
  <si>
    <t xml:space="preserve">DESPESAS</t>
  </si>
  <si>
    <t xml:space="preserve">RESULTADO (Receitas − Despesas)</t>
  </si>
  <si>
    <t xml:space="preserve">Margem líquida</t>
  </si>
  <si>
    <t xml:space="preserve">GABARITO DO INSTRUTOR</t>
  </si>
  <si>
    <t xml:space="preserve">O que foi plantado nos dados (apague esta aba antes de distribuir, se quiser).</t>
  </si>
  <si>
    <t xml:space="preserve">Eixo</t>
  </si>
  <si>
    <t xml:space="preserve">Detalhe</t>
  </si>
  <si>
    <t xml:space="preserve">Descrição</t>
  </si>
  <si>
    <t xml:space="preserve">ANOMALIA</t>
  </si>
  <si>
    <t xml:space="preserve">[Duplicata] Fornecedor 'Alfa Distribuidora Ltda', NF 04532, R$ 12.480,00 lançada DUAS vezes em Fev (11/02 e 13/02). Pagamento em duplicidade.</t>
  </si>
  <si>
    <t xml:space="preserve">[Pico inexplicado] 'Material de Escritório' salta de ~R$ 700/mês para R$ 14.200 em Fev (compra avulsa de móveis/equip. lançada na categoria errada).</t>
  </si>
  <si>
    <t xml:space="preserve">[Pico inexplicado] 'Marketing' salta de ~R$ 8.000 para R$ 31.500 em Mar — R$ 24.000 de 'Campanha Influencer' avulsa.</t>
  </si>
  <si>
    <t xml:space="preserve">[Tarifa atípica] 'Despesas Bancárias' tem 'Tarifa não identificada' de R$ 3.500 em Mar (vs ~R$ 500/mês).</t>
  </si>
  <si>
    <t xml:space="preserve">[Gasto avulso alto] 'Consultoria' de R$ 48.000 em Mar, fornecedor avulso, valor redondo, sem recorrência.</t>
  </si>
  <si>
    <t xml:space="preserve">TENDÊNCIA</t>
  </si>
  <si>
    <t xml:space="preserve">[Receita em queda] Faturamento cai 3 meses seguidos: 268k → 255k → 241k (−10% no trimestre).</t>
  </si>
  <si>
    <t xml:space="preserve">[Frete subindo] 'Frete e Logística' sobe: 6,1k → 9,3k → 13,2k (+116%) — pressiona a margem.</t>
  </si>
  <si>
    <t xml:space="preserve">[Energia subindo] 'Energia Elétrica' sobe gradualmente (5,2k → 6,1k).</t>
  </si>
  <si>
    <t xml:space="preserve">ALERTA</t>
  </si>
  <si>
    <t xml:space="preserve">[Margem comprimida] Receita caindo + custos avulsos altos em Mar derrubam o resultado do mês — verifique a margem líquida na aba Resumo.</t>
  </si>
  <si>
    <t xml:space="preserve">TOP DESPESAS</t>
  </si>
  <si>
    <t xml:space="preserve">[Esperado] 1) Mercadorias/CMV  2) Folha  3) Aluguel  4) Frete  5) Marketing ou Encargos (varia por mês).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</si>
</sst>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R$ &quot;#,##0.00;&quot;(R$ &quot;#,##0.00\);\-"/>
    <numFmt numFmtId="167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C0006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5"/>
  </cols>
  <sheetData>
    <row r="1" customFormat="false" ht="19.7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4" t="s">
        <v>11</v>
      </c>
    </row>
    <row r="16" customFormat="false" ht="249.75" hidden="false" customHeight="true" outlineLevel="0" collapsed="false">
      <c r="B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1"/>
    <col collapsed="false" customWidth="true" hidden="false" outlineLevel="0" max="4" min="4" style="1" width="34"/>
    <col collapsed="false" customWidth="true" hidden="false" outlineLevel="0" max="5" min="5" style="1" width="42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6"/>
  </cols>
  <sheetData>
    <row r="1" customFormat="false" ht="15" hidden="false" customHeight="fals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customFormat="false" ht="15" hidden="false" customHeight="false" outlineLevel="0" collapsed="false">
      <c r="A2" s="8" t="n">
        <v>46024</v>
      </c>
      <c r="B2" s="9" t="s">
        <v>21</v>
      </c>
      <c r="C2" s="10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11" t="n">
        <v>890</v>
      </c>
    </row>
    <row r="3" customFormat="false" ht="15" hidden="false" customHeight="false" outlineLevel="0" collapsed="false">
      <c r="A3" s="8" t="n">
        <v>46024</v>
      </c>
      <c r="B3" s="9" t="s">
        <v>21</v>
      </c>
      <c r="C3" s="10" t="s">
        <v>22</v>
      </c>
      <c r="D3" s="9" t="s">
        <v>23</v>
      </c>
      <c r="E3" s="9" t="s">
        <v>27</v>
      </c>
      <c r="F3" s="9" t="s">
        <v>28</v>
      </c>
      <c r="G3" s="9" t="s">
        <v>26</v>
      </c>
      <c r="H3" s="11" t="n">
        <v>350</v>
      </c>
    </row>
    <row r="4" customFormat="false" ht="15" hidden="false" customHeight="false" outlineLevel="0" collapsed="false">
      <c r="A4" s="8" t="n">
        <v>46025</v>
      </c>
      <c r="B4" s="9" t="s">
        <v>21</v>
      </c>
      <c r="C4" s="10" t="s">
        <v>22</v>
      </c>
      <c r="D4" s="9" t="s">
        <v>29</v>
      </c>
      <c r="E4" s="9" t="s">
        <v>30</v>
      </c>
      <c r="F4" s="9" t="s">
        <v>31</v>
      </c>
      <c r="G4" s="9" t="s">
        <v>32</v>
      </c>
      <c r="H4" s="11" t="n">
        <v>480</v>
      </c>
    </row>
    <row r="5" customFormat="false" ht="15" hidden="false" customHeight="false" outlineLevel="0" collapsed="false">
      <c r="A5" s="8" t="n">
        <v>46026</v>
      </c>
      <c r="B5" s="9" t="s">
        <v>21</v>
      </c>
      <c r="C5" s="10" t="s">
        <v>22</v>
      </c>
      <c r="D5" s="9" t="s">
        <v>33</v>
      </c>
      <c r="E5" s="9" t="s">
        <v>34</v>
      </c>
      <c r="F5" s="9" t="s">
        <v>35</v>
      </c>
      <c r="G5" s="9" t="s">
        <v>36</v>
      </c>
      <c r="H5" s="11" t="n">
        <v>27803.28</v>
      </c>
    </row>
    <row r="6" customFormat="false" ht="15" hidden="false" customHeight="false" outlineLevel="0" collapsed="false">
      <c r="A6" s="8" t="n">
        <v>46027</v>
      </c>
      <c r="B6" s="9" t="s">
        <v>21</v>
      </c>
      <c r="C6" s="12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11" t="n">
        <v>45929.34</v>
      </c>
    </row>
    <row r="7" customFormat="false" ht="15" hidden="false" customHeight="false" outlineLevel="0" collapsed="false">
      <c r="A7" s="8" t="n">
        <v>46027</v>
      </c>
      <c r="B7" s="9" t="s">
        <v>21</v>
      </c>
      <c r="C7" s="12" t="s">
        <v>37</v>
      </c>
      <c r="D7" s="9" t="s">
        <v>42</v>
      </c>
      <c r="E7" s="9" t="s">
        <v>43</v>
      </c>
      <c r="F7" s="9" t="s">
        <v>40</v>
      </c>
      <c r="G7" s="9" t="s">
        <v>44</v>
      </c>
      <c r="H7" s="11" t="n">
        <v>31050.65</v>
      </c>
    </row>
    <row r="8" customFormat="false" ht="15" hidden="false" customHeight="false" outlineLevel="0" collapsed="false">
      <c r="A8" s="8" t="n">
        <v>46027</v>
      </c>
      <c r="B8" s="9" t="s">
        <v>21</v>
      </c>
      <c r="C8" s="10" t="s">
        <v>22</v>
      </c>
      <c r="D8" s="9" t="s">
        <v>45</v>
      </c>
      <c r="E8" s="9" t="s">
        <v>46</v>
      </c>
      <c r="F8" s="9" t="s">
        <v>47</v>
      </c>
      <c r="G8" s="9" t="s">
        <v>48</v>
      </c>
      <c r="H8" s="11" t="n">
        <v>18178.58</v>
      </c>
    </row>
    <row r="9" customFormat="false" ht="15" hidden="false" customHeight="false" outlineLevel="0" collapsed="false">
      <c r="A9" s="8" t="n">
        <v>46029</v>
      </c>
      <c r="B9" s="9" t="s">
        <v>21</v>
      </c>
      <c r="C9" s="10" t="s">
        <v>22</v>
      </c>
      <c r="D9" s="9" t="s">
        <v>49</v>
      </c>
      <c r="E9" s="9" t="s">
        <v>49</v>
      </c>
      <c r="F9" s="9" t="s">
        <v>50</v>
      </c>
      <c r="G9" s="9" t="s">
        <v>48</v>
      </c>
      <c r="H9" s="11" t="n">
        <v>12200</v>
      </c>
    </row>
    <row r="10" customFormat="false" ht="15" hidden="false" customHeight="false" outlineLevel="0" collapsed="false">
      <c r="A10" s="8" t="n">
        <v>46029</v>
      </c>
      <c r="B10" s="9" t="s">
        <v>21</v>
      </c>
      <c r="C10" s="10" t="s">
        <v>22</v>
      </c>
      <c r="D10" s="9" t="s">
        <v>51</v>
      </c>
      <c r="E10" s="9" t="s">
        <v>51</v>
      </c>
      <c r="F10" s="9" t="s">
        <v>52</v>
      </c>
      <c r="G10" s="9" t="s">
        <v>48</v>
      </c>
      <c r="H10" s="11" t="n">
        <v>18000</v>
      </c>
    </row>
    <row r="11" customFormat="false" ht="15" hidden="false" customHeight="false" outlineLevel="0" collapsed="false">
      <c r="A11" s="8" t="n">
        <v>46029</v>
      </c>
      <c r="B11" s="9" t="s">
        <v>21</v>
      </c>
      <c r="C11" s="10" t="s">
        <v>22</v>
      </c>
      <c r="D11" s="9" t="s">
        <v>53</v>
      </c>
      <c r="E11" s="9" t="s">
        <v>53</v>
      </c>
      <c r="F11" s="9" t="s">
        <v>54</v>
      </c>
      <c r="G11" s="9" t="s">
        <v>48</v>
      </c>
      <c r="H11" s="11" t="n">
        <v>1450</v>
      </c>
    </row>
    <row r="12" customFormat="false" ht="15" hidden="false" customHeight="false" outlineLevel="0" collapsed="false">
      <c r="A12" s="8" t="n">
        <v>46029</v>
      </c>
      <c r="B12" s="9" t="s">
        <v>21</v>
      </c>
      <c r="C12" s="10" t="s">
        <v>22</v>
      </c>
      <c r="D12" s="9" t="s">
        <v>55</v>
      </c>
      <c r="E12" s="9" t="s">
        <v>55</v>
      </c>
      <c r="F12" s="9" t="s">
        <v>56</v>
      </c>
      <c r="G12" s="9" t="s">
        <v>48</v>
      </c>
      <c r="H12" s="11" t="n">
        <v>1900</v>
      </c>
    </row>
    <row r="13" customFormat="false" ht="15" hidden="false" customHeight="false" outlineLevel="0" collapsed="false">
      <c r="A13" s="8" t="n">
        <v>46029</v>
      </c>
      <c r="B13" s="9" t="s">
        <v>21</v>
      </c>
      <c r="C13" s="10" t="s">
        <v>22</v>
      </c>
      <c r="D13" s="9" t="s">
        <v>57</v>
      </c>
      <c r="E13" s="9" t="s">
        <v>57</v>
      </c>
      <c r="F13" s="9" t="s">
        <v>58</v>
      </c>
      <c r="G13" s="9" t="s">
        <v>48</v>
      </c>
      <c r="H13" s="11" t="n">
        <v>2800</v>
      </c>
    </row>
    <row r="14" customFormat="false" ht="15" hidden="false" customHeight="false" outlineLevel="0" collapsed="false">
      <c r="A14" s="8" t="n">
        <v>46029</v>
      </c>
      <c r="B14" s="9" t="s">
        <v>21</v>
      </c>
      <c r="C14" s="10" t="s">
        <v>22</v>
      </c>
      <c r="D14" s="9" t="s">
        <v>59</v>
      </c>
      <c r="E14" s="9" t="s">
        <v>59</v>
      </c>
      <c r="F14" s="9" t="s">
        <v>60</v>
      </c>
      <c r="G14" s="9" t="s">
        <v>48</v>
      </c>
      <c r="H14" s="11" t="n">
        <v>1600</v>
      </c>
    </row>
    <row r="15" customFormat="false" ht="15" hidden="false" customHeight="false" outlineLevel="0" collapsed="false">
      <c r="A15" s="8" t="n">
        <v>46029</v>
      </c>
      <c r="B15" s="9" t="s">
        <v>21</v>
      </c>
      <c r="C15" s="10" t="s">
        <v>22</v>
      </c>
      <c r="D15" s="9" t="s">
        <v>61</v>
      </c>
      <c r="E15" s="9" t="s">
        <v>61</v>
      </c>
      <c r="F15" s="9" t="s">
        <v>62</v>
      </c>
      <c r="G15" s="9" t="s">
        <v>48</v>
      </c>
      <c r="H15" s="11" t="n">
        <v>1350</v>
      </c>
    </row>
    <row r="16" customFormat="false" ht="15" hidden="false" customHeight="false" outlineLevel="0" collapsed="false">
      <c r="A16" s="8" t="n">
        <v>46030</v>
      </c>
      <c r="B16" s="9" t="s">
        <v>21</v>
      </c>
      <c r="C16" s="10" t="s">
        <v>22</v>
      </c>
      <c r="D16" s="9" t="s">
        <v>63</v>
      </c>
      <c r="E16" s="9" t="s">
        <v>64</v>
      </c>
      <c r="F16" s="9" t="s">
        <v>65</v>
      </c>
      <c r="G16" s="9" t="s">
        <v>36</v>
      </c>
      <c r="H16" s="11" t="n">
        <v>2943.31</v>
      </c>
    </row>
    <row r="17" customFormat="false" ht="15" hidden="false" customHeight="false" outlineLevel="0" collapsed="false">
      <c r="A17" s="8" t="n">
        <v>46031</v>
      </c>
      <c r="B17" s="9" t="s">
        <v>21</v>
      </c>
      <c r="C17" s="10" t="s">
        <v>22</v>
      </c>
      <c r="D17" s="9" t="s">
        <v>66</v>
      </c>
      <c r="E17" s="9" t="s">
        <v>67</v>
      </c>
      <c r="F17" s="9" t="s">
        <v>68</v>
      </c>
      <c r="G17" s="9" t="s">
        <v>26</v>
      </c>
      <c r="H17" s="11" t="n">
        <v>8200</v>
      </c>
    </row>
    <row r="18" customFormat="false" ht="15" hidden="false" customHeight="false" outlineLevel="0" collapsed="false">
      <c r="A18" s="8" t="n">
        <v>46032</v>
      </c>
      <c r="B18" s="9" t="s">
        <v>21</v>
      </c>
      <c r="C18" s="10" t="s">
        <v>22</v>
      </c>
      <c r="D18" s="9" t="s">
        <v>33</v>
      </c>
      <c r="E18" s="9" t="s">
        <v>69</v>
      </c>
      <c r="F18" s="9" t="s">
        <v>70</v>
      </c>
      <c r="G18" s="9" t="s">
        <v>36</v>
      </c>
      <c r="H18" s="11" t="n">
        <v>37514.81</v>
      </c>
    </row>
    <row r="19" customFormat="false" ht="15" hidden="false" customHeight="false" outlineLevel="0" collapsed="false">
      <c r="A19" s="8" t="n">
        <v>46032</v>
      </c>
      <c r="B19" s="9" t="s">
        <v>21</v>
      </c>
      <c r="C19" s="10" t="s">
        <v>22</v>
      </c>
      <c r="D19" s="9" t="s">
        <v>71</v>
      </c>
      <c r="E19" s="9" t="s">
        <v>72</v>
      </c>
      <c r="F19" s="9" t="s">
        <v>73</v>
      </c>
      <c r="G19" s="9" t="s">
        <v>74</v>
      </c>
      <c r="H19" s="11" t="n">
        <v>5200</v>
      </c>
    </row>
    <row r="20" customFormat="false" ht="15" hidden="false" customHeight="false" outlineLevel="0" collapsed="false">
      <c r="A20" s="8" t="n">
        <v>46034</v>
      </c>
      <c r="B20" s="9" t="s">
        <v>21</v>
      </c>
      <c r="C20" s="12" t="s">
        <v>37</v>
      </c>
      <c r="D20" s="9" t="s">
        <v>38</v>
      </c>
      <c r="E20" s="9" t="s">
        <v>75</v>
      </c>
      <c r="F20" s="9" t="s">
        <v>76</v>
      </c>
      <c r="G20" s="9" t="s">
        <v>41</v>
      </c>
      <c r="H20" s="11" t="n">
        <v>42875.46</v>
      </c>
    </row>
    <row r="21" customFormat="false" ht="15" hidden="false" customHeight="false" outlineLevel="0" collapsed="false">
      <c r="A21" s="8" t="n">
        <v>46034</v>
      </c>
      <c r="B21" s="9" t="s">
        <v>21</v>
      </c>
      <c r="C21" s="12" t="s">
        <v>37</v>
      </c>
      <c r="D21" s="9" t="s">
        <v>42</v>
      </c>
      <c r="E21" s="9" t="s">
        <v>77</v>
      </c>
      <c r="F21" s="9" t="s">
        <v>76</v>
      </c>
      <c r="G21" s="9" t="s">
        <v>44</v>
      </c>
      <c r="H21" s="11" t="n">
        <v>29172.46</v>
      </c>
    </row>
    <row r="22" customFormat="false" ht="15" hidden="false" customHeight="false" outlineLevel="0" collapsed="false">
      <c r="A22" s="8" t="n">
        <v>46034</v>
      </c>
      <c r="B22" s="9" t="s">
        <v>21</v>
      </c>
      <c r="C22" s="10" t="s">
        <v>22</v>
      </c>
      <c r="D22" s="9" t="s">
        <v>78</v>
      </c>
      <c r="E22" s="9" t="s">
        <v>79</v>
      </c>
      <c r="F22" s="9" t="s">
        <v>80</v>
      </c>
      <c r="G22" s="9" t="s">
        <v>74</v>
      </c>
      <c r="H22" s="11" t="n">
        <v>980</v>
      </c>
    </row>
    <row r="23" customFormat="false" ht="15" hidden="false" customHeight="false" outlineLevel="0" collapsed="false">
      <c r="A23" s="8" t="n">
        <v>46037</v>
      </c>
      <c r="B23" s="9" t="s">
        <v>21</v>
      </c>
      <c r="C23" s="10" t="s">
        <v>22</v>
      </c>
      <c r="D23" s="9" t="s">
        <v>81</v>
      </c>
      <c r="E23" s="9" t="s">
        <v>82</v>
      </c>
      <c r="F23" s="9" t="s">
        <v>83</v>
      </c>
      <c r="G23" s="9" t="s">
        <v>26</v>
      </c>
      <c r="H23" s="11" t="n">
        <v>720</v>
      </c>
    </row>
    <row r="24" customFormat="false" ht="15" hidden="false" customHeight="false" outlineLevel="0" collapsed="false">
      <c r="A24" s="8" t="n">
        <v>46038</v>
      </c>
      <c r="B24" s="9" t="s">
        <v>21</v>
      </c>
      <c r="C24" s="10" t="s">
        <v>22</v>
      </c>
      <c r="D24" s="9" t="s">
        <v>33</v>
      </c>
      <c r="E24" s="9" t="s">
        <v>84</v>
      </c>
      <c r="F24" s="9" t="s">
        <v>85</v>
      </c>
      <c r="G24" s="9" t="s">
        <v>36</v>
      </c>
      <c r="H24" s="11" t="n">
        <v>30710.29</v>
      </c>
    </row>
    <row r="25" customFormat="false" ht="15" hidden="false" customHeight="false" outlineLevel="0" collapsed="false">
      <c r="A25" s="8" t="n">
        <v>46041</v>
      </c>
      <c r="B25" s="9" t="s">
        <v>21</v>
      </c>
      <c r="C25" s="12" t="s">
        <v>37</v>
      </c>
      <c r="D25" s="9" t="s">
        <v>38</v>
      </c>
      <c r="E25" s="9" t="s">
        <v>86</v>
      </c>
      <c r="F25" s="9" t="s">
        <v>87</v>
      </c>
      <c r="G25" s="9" t="s">
        <v>41</v>
      </c>
      <c r="H25" s="11" t="n">
        <v>51704.06</v>
      </c>
    </row>
    <row r="26" customFormat="false" ht="15" hidden="false" customHeight="false" outlineLevel="0" collapsed="false">
      <c r="A26" s="8" t="n">
        <v>46041</v>
      </c>
      <c r="B26" s="9" t="s">
        <v>21</v>
      </c>
      <c r="C26" s="12" t="s">
        <v>37</v>
      </c>
      <c r="D26" s="9" t="s">
        <v>42</v>
      </c>
      <c r="E26" s="9" t="s">
        <v>88</v>
      </c>
      <c r="F26" s="9" t="s">
        <v>87</v>
      </c>
      <c r="G26" s="9" t="s">
        <v>44</v>
      </c>
      <c r="H26" s="11" t="n">
        <v>25776.89</v>
      </c>
    </row>
    <row r="27" customFormat="false" ht="15" hidden="false" customHeight="false" outlineLevel="0" collapsed="false">
      <c r="A27" s="8" t="n">
        <v>46042</v>
      </c>
      <c r="B27" s="9" t="s">
        <v>21</v>
      </c>
      <c r="C27" s="10" t="s">
        <v>22</v>
      </c>
      <c r="D27" s="9" t="s">
        <v>45</v>
      </c>
      <c r="E27" s="9" t="s">
        <v>89</v>
      </c>
      <c r="F27" s="9" t="s">
        <v>90</v>
      </c>
      <c r="G27" s="9" t="s">
        <v>48</v>
      </c>
      <c r="H27" s="11" t="n">
        <v>18321.42</v>
      </c>
    </row>
    <row r="28" customFormat="false" ht="15" hidden="false" customHeight="false" outlineLevel="0" collapsed="false">
      <c r="A28" s="8" t="n">
        <v>46042</v>
      </c>
      <c r="B28" s="9" t="s">
        <v>21</v>
      </c>
      <c r="C28" s="10" t="s">
        <v>22</v>
      </c>
      <c r="D28" s="9" t="s">
        <v>91</v>
      </c>
      <c r="E28" s="9" t="s">
        <v>92</v>
      </c>
      <c r="F28" s="9" t="s">
        <v>93</v>
      </c>
      <c r="G28" s="9" t="s">
        <v>94</v>
      </c>
      <c r="H28" s="11" t="n">
        <v>16000</v>
      </c>
    </row>
    <row r="29" customFormat="false" ht="15" hidden="false" customHeight="false" outlineLevel="0" collapsed="false">
      <c r="A29" s="8" t="n">
        <v>46042</v>
      </c>
      <c r="B29" s="9" t="s">
        <v>21</v>
      </c>
      <c r="C29" s="10" t="s">
        <v>22</v>
      </c>
      <c r="D29" s="9" t="s">
        <v>63</v>
      </c>
      <c r="E29" s="9" t="s">
        <v>64</v>
      </c>
      <c r="F29" s="9" t="s">
        <v>95</v>
      </c>
      <c r="G29" s="9" t="s">
        <v>36</v>
      </c>
      <c r="H29" s="11" t="n">
        <v>3156.69</v>
      </c>
    </row>
    <row r="30" customFormat="false" ht="15" hidden="false" customHeight="false" outlineLevel="0" collapsed="false">
      <c r="A30" s="8" t="n">
        <v>46044</v>
      </c>
      <c r="B30" s="9" t="s">
        <v>21</v>
      </c>
      <c r="C30" s="10" t="s">
        <v>22</v>
      </c>
      <c r="D30" s="9" t="s">
        <v>33</v>
      </c>
      <c r="E30" s="9" t="s">
        <v>34</v>
      </c>
      <c r="F30" s="9" t="s">
        <v>96</v>
      </c>
      <c r="G30" s="9" t="s">
        <v>36</v>
      </c>
      <c r="H30" s="11" t="n">
        <v>28971.62</v>
      </c>
    </row>
    <row r="31" customFormat="false" ht="15" hidden="false" customHeight="false" outlineLevel="0" collapsed="false">
      <c r="A31" s="8" t="n">
        <v>46047</v>
      </c>
      <c r="B31" s="9" t="s">
        <v>21</v>
      </c>
      <c r="C31" s="10" t="s">
        <v>22</v>
      </c>
      <c r="D31" s="9" t="s">
        <v>97</v>
      </c>
      <c r="E31" s="9" t="s">
        <v>98</v>
      </c>
      <c r="F31" s="9" t="s">
        <v>99</v>
      </c>
      <c r="G31" s="9" t="s">
        <v>36</v>
      </c>
      <c r="H31" s="11" t="n">
        <v>2200</v>
      </c>
    </row>
    <row r="32" customFormat="false" ht="15" hidden="false" customHeight="false" outlineLevel="0" collapsed="false">
      <c r="A32" s="8" t="n">
        <v>46048</v>
      </c>
      <c r="B32" s="9" t="s">
        <v>21</v>
      </c>
      <c r="C32" s="12" t="s">
        <v>37</v>
      </c>
      <c r="D32" s="9" t="s">
        <v>38</v>
      </c>
      <c r="E32" s="9" t="s">
        <v>100</v>
      </c>
      <c r="F32" s="9" t="s">
        <v>101</v>
      </c>
      <c r="G32" s="9" t="s">
        <v>41</v>
      </c>
      <c r="H32" s="11" t="n">
        <v>41491.14</v>
      </c>
    </row>
    <row r="33" customFormat="false" ht="15" hidden="false" customHeight="false" outlineLevel="0" collapsed="false">
      <c r="A33" s="8" t="n">
        <v>46050</v>
      </c>
      <c r="B33" s="9" t="s">
        <v>21</v>
      </c>
      <c r="C33" s="10" t="s">
        <v>22</v>
      </c>
      <c r="D33" s="9" t="s">
        <v>102</v>
      </c>
      <c r="E33" s="9" t="s">
        <v>103</v>
      </c>
      <c r="F33" s="9" t="s">
        <v>104</v>
      </c>
      <c r="G33" s="9" t="s">
        <v>105</v>
      </c>
      <c r="H33" s="11" t="n">
        <v>3639.95</v>
      </c>
    </row>
    <row r="34" customFormat="false" ht="15" hidden="false" customHeight="false" outlineLevel="0" collapsed="false">
      <c r="A34" s="8" t="n">
        <v>46050</v>
      </c>
      <c r="B34" s="9" t="s">
        <v>21</v>
      </c>
      <c r="C34" s="10" t="s">
        <v>22</v>
      </c>
      <c r="D34" s="9" t="s">
        <v>102</v>
      </c>
      <c r="E34" s="9" t="s">
        <v>106</v>
      </c>
      <c r="F34" s="9" t="s">
        <v>107</v>
      </c>
      <c r="G34" s="9" t="s">
        <v>105</v>
      </c>
      <c r="H34" s="11" t="n">
        <v>3060.05</v>
      </c>
    </row>
    <row r="35" customFormat="false" ht="15" hidden="false" customHeight="false" outlineLevel="0" collapsed="false">
      <c r="A35" s="8" t="n">
        <v>46055</v>
      </c>
      <c r="B35" s="9" t="s">
        <v>108</v>
      </c>
      <c r="C35" s="10" t="s">
        <v>22</v>
      </c>
      <c r="D35" s="9" t="s">
        <v>23</v>
      </c>
      <c r="E35" s="9" t="s">
        <v>24</v>
      </c>
      <c r="F35" s="9" t="s">
        <v>109</v>
      </c>
      <c r="G35" s="9" t="s">
        <v>26</v>
      </c>
      <c r="H35" s="11" t="n">
        <v>890</v>
      </c>
    </row>
    <row r="36" customFormat="false" ht="15" hidden="false" customHeight="false" outlineLevel="0" collapsed="false">
      <c r="A36" s="8" t="n">
        <v>46055</v>
      </c>
      <c r="B36" s="9" t="s">
        <v>108</v>
      </c>
      <c r="C36" s="10" t="s">
        <v>22</v>
      </c>
      <c r="D36" s="9" t="s">
        <v>23</v>
      </c>
      <c r="E36" s="9" t="s">
        <v>27</v>
      </c>
      <c r="F36" s="9" t="s">
        <v>110</v>
      </c>
      <c r="G36" s="9" t="s">
        <v>26</v>
      </c>
      <c r="H36" s="11" t="n">
        <v>350</v>
      </c>
    </row>
    <row r="37" customFormat="false" ht="15" hidden="false" customHeight="false" outlineLevel="0" collapsed="false">
      <c r="A37" s="8" t="n">
        <v>46056</v>
      </c>
      <c r="B37" s="9" t="s">
        <v>108</v>
      </c>
      <c r="C37" s="10" t="s">
        <v>22</v>
      </c>
      <c r="D37" s="9" t="s">
        <v>29</v>
      </c>
      <c r="E37" s="9" t="s">
        <v>30</v>
      </c>
      <c r="F37" s="9" t="s">
        <v>111</v>
      </c>
      <c r="G37" s="9" t="s">
        <v>32</v>
      </c>
      <c r="H37" s="11" t="n">
        <v>510</v>
      </c>
    </row>
    <row r="38" customFormat="false" ht="15" hidden="false" customHeight="false" outlineLevel="0" collapsed="false">
      <c r="A38" s="8" t="n">
        <v>46058</v>
      </c>
      <c r="B38" s="9" t="s">
        <v>108</v>
      </c>
      <c r="C38" s="12" t="s">
        <v>37</v>
      </c>
      <c r="D38" s="9" t="s">
        <v>38</v>
      </c>
      <c r="E38" s="9" t="s">
        <v>39</v>
      </c>
      <c r="F38" s="9" t="s">
        <v>112</v>
      </c>
      <c r="G38" s="9" t="s">
        <v>41</v>
      </c>
      <c r="H38" s="11" t="n">
        <v>46605.08</v>
      </c>
    </row>
    <row r="39" customFormat="false" ht="15" hidden="false" customHeight="false" outlineLevel="0" collapsed="false">
      <c r="A39" s="8" t="n">
        <v>46058</v>
      </c>
      <c r="B39" s="9" t="s">
        <v>108</v>
      </c>
      <c r="C39" s="12" t="s">
        <v>37</v>
      </c>
      <c r="D39" s="9" t="s">
        <v>42</v>
      </c>
      <c r="E39" s="9" t="s">
        <v>43</v>
      </c>
      <c r="F39" s="9" t="s">
        <v>112</v>
      </c>
      <c r="G39" s="9" t="s">
        <v>44</v>
      </c>
      <c r="H39" s="11" t="n">
        <v>24625.25</v>
      </c>
    </row>
    <row r="40" customFormat="false" ht="15" hidden="false" customHeight="false" outlineLevel="0" collapsed="false">
      <c r="A40" s="8" t="n">
        <v>46058</v>
      </c>
      <c r="B40" s="9" t="s">
        <v>108</v>
      </c>
      <c r="C40" s="10" t="s">
        <v>22</v>
      </c>
      <c r="D40" s="9" t="s">
        <v>45</v>
      </c>
      <c r="E40" s="9" t="s">
        <v>46</v>
      </c>
      <c r="F40" s="9" t="s">
        <v>113</v>
      </c>
      <c r="G40" s="9" t="s">
        <v>48</v>
      </c>
      <c r="H40" s="11" t="n">
        <v>18211.38</v>
      </c>
    </row>
    <row r="41" customFormat="false" ht="15" hidden="false" customHeight="false" outlineLevel="0" collapsed="false">
      <c r="A41" s="8" t="n">
        <v>46059</v>
      </c>
      <c r="B41" s="9" t="s">
        <v>108</v>
      </c>
      <c r="C41" s="10" t="s">
        <v>22</v>
      </c>
      <c r="D41" s="9" t="s">
        <v>33</v>
      </c>
      <c r="E41" s="9" t="s">
        <v>84</v>
      </c>
      <c r="F41" s="9" t="s">
        <v>114</v>
      </c>
      <c r="G41" s="9" t="s">
        <v>36</v>
      </c>
      <c r="H41" s="11" t="n">
        <v>34840.56</v>
      </c>
    </row>
    <row r="42" customFormat="false" ht="15" hidden="false" customHeight="false" outlineLevel="0" collapsed="false">
      <c r="A42" s="8" t="n">
        <v>46060</v>
      </c>
      <c r="B42" s="9" t="s">
        <v>108</v>
      </c>
      <c r="C42" s="10" t="s">
        <v>22</v>
      </c>
      <c r="D42" s="9" t="s">
        <v>49</v>
      </c>
      <c r="E42" s="9" t="s">
        <v>49</v>
      </c>
      <c r="F42" s="9" t="s">
        <v>115</v>
      </c>
      <c r="G42" s="9" t="s">
        <v>48</v>
      </c>
      <c r="H42" s="11" t="n">
        <v>12200</v>
      </c>
    </row>
    <row r="43" customFormat="false" ht="15" hidden="false" customHeight="false" outlineLevel="0" collapsed="false">
      <c r="A43" s="8" t="n">
        <v>46060</v>
      </c>
      <c r="B43" s="9" t="s">
        <v>108</v>
      </c>
      <c r="C43" s="10" t="s">
        <v>22</v>
      </c>
      <c r="D43" s="9" t="s">
        <v>51</v>
      </c>
      <c r="E43" s="9" t="s">
        <v>51</v>
      </c>
      <c r="F43" s="9" t="s">
        <v>116</v>
      </c>
      <c r="G43" s="9" t="s">
        <v>48</v>
      </c>
      <c r="H43" s="11" t="n">
        <v>18000</v>
      </c>
    </row>
    <row r="44" customFormat="false" ht="15" hidden="false" customHeight="false" outlineLevel="0" collapsed="false">
      <c r="A44" s="8" t="n">
        <v>46060</v>
      </c>
      <c r="B44" s="9" t="s">
        <v>108</v>
      </c>
      <c r="C44" s="10" t="s">
        <v>22</v>
      </c>
      <c r="D44" s="9" t="s">
        <v>53</v>
      </c>
      <c r="E44" s="9" t="s">
        <v>53</v>
      </c>
      <c r="F44" s="9" t="s">
        <v>117</v>
      </c>
      <c r="G44" s="9" t="s">
        <v>48</v>
      </c>
      <c r="H44" s="11" t="n">
        <v>1450</v>
      </c>
    </row>
    <row r="45" customFormat="false" ht="15" hidden="false" customHeight="false" outlineLevel="0" collapsed="false">
      <c r="A45" s="8" t="n">
        <v>46060</v>
      </c>
      <c r="B45" s="9" t="s">
        <v>108</v>
      </c>
      <c r="C45" s="10" t="s">
        <v>22</v>
      </c>
      <c r="D45" s="9" t="s">
        <v>55</v>
      </c>
      <c r="E45" s="9" t="s">
        <v>55</v>
      </c>
      <c r="F45" s="9" t="s">
        <v>118</v>
      </c>
      <c r="G45" s="9" t="s">
        <v>48</v>
      </c>
      <c r="H45" s="11" t="n">
        <v>2100</v>
      </c>
    </row>
    <row r="46" customFormat="false" ht="15" hidden="false" customHeight="false" outlineLevel="0" collapsed="false">
      <c r="A46" s="8" t="n">
        <v>46060</v>
      </c>
      <c r="B46" s="9" t="s">
        <v>108</v>
      </c>
      <c r="C46" s="10" t="s">
        <v>22</v>
      </c>
      <c r="D46" s="9" t="s">
        <v>57</v>
      </c>
      <c r="E46" s="9" t="s">
        <v>57</v>
      </c>
      <c r="F46" s="9" t="s">
        <v>119</v>
      </c>
      <c r="G46" s="9" t="s">
        <v>48</v>
      </c>
      <c r="H46" s="11" t="n">
        <v>2800</v>
      </c>
    </row>
    <row r="47" customFormat="false" ht="15" hidden="false" customHeight="false" outlineLevel="0" collapsed="false">
      <c r="A47" s="8" t="n">
        <v>46060</v>
      </c>
      <c r="B47" s="9" t="s">
        <v>108</v>
      </c>
      <c r="C47" s="10" t="s">
        <v>22</v>
      </c>
      <c r="D47" s="9" t="s">
        <v>59</v>
      </c>
      <c r="E47" s="9" t="s">
        <v>59</v>
      </c>
      <c r="F47" s="9" t="s">
        <v>120</v>
      </c>
      <c r="G47" s="9" t="s">
        <v>48</v>
      </c>
      <c r="H47" s="11" t="n">
        <v>1600</v>
      </c>
    </row>
    <row r="48" customFormat="false" ht="15" hidden="false" customHeight="false" outlineLevel="0" collapsed="false">
      <c r="A48" s="8" t="n">
        <v>46060</v>
      </c>
      <c r="B48" s="9" t="s">
        <v>108</v>
      </c>
      <c r="C48" s="10" t="s">
        <v>22</v>
      </c>
      <c r="D48" s="9" t="s">
        <v>61</v>
      </c>
      <c r="E48" s="9" t="s">
        <v>61</v>
      </c>
      <c r="F48" s="9" t="s">
        <v>121</v>
      </c>
      <c r="G48" s="9" t="s">
        <v>48</v>
      </c>
      <c r="H48" s="11" t="n">
        <v>1350</v>
      </c>
    </row>
    <row r="49" customFormat="false" ht="15" hidden="false" customHeight="false" outlineLevel="0" collapsed="false">
      <c r="A49" s="8" t="n">
        <v>46061</v>
      </c>
      <c r="B49" s="9" t="s">
        <v>108</v>
      </c>
      <c r="C49" s="10" t="s">
        <v>22</v>
      </c>
      <c r="D49" s="9" t="s">
        <v>63</v>
      </c>
      <c r="E49" s="9" t="s">
        <v>64</v>
      </c>
      <c r="F49" s="9" t="s">
        <v>122</v>
      </c>
      <c r="G49" s="9" t="s">
        <v>36</v>
      </c>
      <c r="H49" s="11" t="n">
        <v>4801.14</v>
      </c>
    </row>
    <row r="50" customFormat="false" ht="15" hidden="false" customHeight="false" outlineLevel="0" collapsed="false">
      <c r="A50" s="8" t="n">
        <v>46062</v>
      </c>
      <c r="B50" s="9" t="s">
        <v>108</v>
      </c>
      <c r="C50" s="10" t="s">
        <v>22</v>
      </c>
      <c r="D50" s="9" t="s">
        <v>66</v>
      </c>
      <c r="E50" s="9" t="s">
        <v>67</v>
      </c>
      <c r="F50" s="9" t="s">
        <v>123</v>
      </c>
      <c r="G50" s="9" t="s">
        <v>26</v>
      </c>
      <c r="H50" s="11" t="n">
        <v>7600</v>
      </c>
    </row>
    <row r="51" customFormat="false" ht="15" hidden="false" customHeight="false" outlineLevel="0" collapsed="false">
      <c r="A51" s="8" t="n">
        <v>46063</v>
      </c>
      <c r="B51" s="9" t="s">
        <v>108</v>
      </c>
      <c r="C51" s="10" t="s">
        <v>22</v>
      </c>
      <c r="D51" s="9" t="s">
        <v>71</v>
      </c>
      <c r="E51" s="9" t="s">
        <v>72</v>
      </c>
      <c r="F51" s="9" t="s">
        <v>124</v>
      </c>
      <c r="G51" s="9" t="s">
        <v>74</v>
      </c>
      <c r="H51" s="11" t="n">
        <v>5600</v>
      </c>
    </row>
    <row r="52" customFormat="false" ht="15" hidden="false" customHeight="false" outlineLevel="0" collapsed="false">
      <c r="A52" s="8" t="n">
        <v>46064</v>
      </c>
      <c r="B52" s="9" t="s">
        <v>108</v>
      </c>
      <c r="C52" s="10" t="s">
        <v>22</v>
      </c>
      <c r="D52" s="9" t="s">
        <v>33</v>
      </c>
      <c r="E52" s="9" t="s">
        <v>125</v>
      </c>
      <c r="F52" s="9" t="s">
        <v>126</v>
      </c>
      <c r="G52" s="9" t="s">
        <v>36</v>
      </c>
      <c r="H52" s="11" t="n">
        <v>12480</v>
      </c>
    </row>
    <row r="53" customFormat="false" ht="15" hidden="false" customHeight="false" outlineLevel="0" collapsed="false">
      <c r="A53" s="8" t="n">
        <v>46065</v>
      </c>
      <c r="B53" s="9" t="s">
        <v>108</v>
      </c>
      <c r="C53" s="12" t="s">
        <v>37</v>
      </c>
      <c r="D53" s="9" t="s">
        <v>38</v>
      </c>
      <c r="E53" s="9" t="s">
        <v>75</v>
      </c>
      <c r="F53" s="9" t="s">
        <v>127</v>
      </c>
      <c r="G53" s="9" t="s">
        <v>41</v>
      </c>
      <c r="H53" s="11" t="n">
        <v>38741.55</v>
      </c>
    </row>
    <row r="54" customFormat="false" ht="15" hidden="false" customHeight="false" outlineLevel="0" collapsed="false">
      <c r="A54" s="8" t="n">
        <v>46065</v>
      </c>
      <c r="B54" s="9" t="s">
        <v>108</v>
      </c>
      <c r="C54" s="12" t="s">
        <v>37</v>
      </c>
      <c r="D54" s="9" t="s">
        <v>42</v>
      </c>
      <c r="E54" s="9" t="s">
        <v>77</v>
      </c>
      <c r="F54" s="9" t="s">
        <v>127</v>
      </c>
      <c r="G54" s="9" t="s">
        <v>44</v>
      </c>
      <c r="H54" s="11" t="n">
        <v>28095.84</v>
      </c>
    </row>
    <row r="55" customFormat="false" ht="15" hidden="false" customHeight="false" outlineLevel="0" collapsed="false">
      <c r="A55" s="8" t="n">
        <v>46065</v>
      </c>
      <c r="B55" s="9" t="s">
        <v>108</v>
      </c>
      <c r="C55" s="10" t="s">
        <v>22</v>
      </c>
      <c r="D55" s="9" t="s">
        <v>78</v>
      </c>
      <c r="E55" s="9" t="s">
        <v>79</v>
      </c>
      <c r="F55" s="9" t="s">
        <v>128</v>
      </c>
      <c r="G55" s="9" t="s">
        <v>74</v>
      </c>
      <c r="H55" s="11" t="n">
        <v>1020</v>
      </c>
    </row>
    <row r="56" customFormat="false" ht="15" hidden="false" customHeight="false" outlineLevel="0" collapsed="false">
      <c r="A56" s="8" t="n">
        <v>46066</v>
      </c>
      <c r="B56" s="9" t="s">
        <v>108</v>
      </c>
      <c r="C56" s="10" t="s">
        <v>22</v>
      </c>
      <c r="D56" s="9" t="s">
        <v>33</v>
      </c>
      <c r="E56" s="9" t="s">
        <v>125</v>
      </c>
      <c r="F56" s="9" t="s">
        <v>126</v>
      </c>
      <c r="G56" s="9" t="s">
        <v>36</v>
      </c>
      <c r="H56" s="11" t="n">
        <v>12480</v>
      </c>
    </row>
    <row r="57" customFormat="false" ht="15" hidden="false" customHeight="false" outlineLevel="0" collapsed="false">
      <c r="A57" s="8" t="n">
        <v>46067</v>
      </c>
      <c r="B57" s="9" t="s">
        <v>108</v>
      </c>
      <c r="C57" s="10" t="s">
        <v>22</v>
      </c>
      <c r="D57" s="9" t="s">
        <v>33</v>
      </c>
      <c r="E57" s="9" t="s">
        <v>129</v>
      </c>
      <c r="F57" s="9" t="s">
        <v>130</v>
      </c>
      <c r="G57" s="9" t="s">
        <v>36</v>
      </c>
      <c r="H57" s="11" t="n">
        <v>30152.73</v>
      </c>
    </row>
    <row r="58" customFormat="false" ht="15" hidden="false" customHeight="false" outlineLevel="0" collapsed="false">
      <c r="A58" s="8" t="n">
        <v>46068</v>
      </c>
      <c r="B58" s="9" t="s">
        <v>108</v>
      </c>
      <c r="C58" s="10" t="s">
        <v>22</v>
      </c>
      <c r="D58" s="9" t="s">
        <v>81</v>
      </c>
      <c r="E58" s="9" t="s">
        <v>131</v>
      </c>
      <c r="F58" s="9" t="s">
        <v>132</v>
      </c>
      <c r="G58" s="9" t="s">
        <v>26</v>
      </c>
      <c r="H58" s="11" t="n">
        <v>14200</v>
      </c>
    </row>
    <row r="59" customFormat="false" ht="15" hidden="false" customHeight="false" outlineLevel="0" collapsed="false">
      <c r="A59" s="8" t="n">
        <v>46072</v>
      </c>
      <c r="B59" s="9" t="s">
        <v>108</v>
      </c>
      <c r="C59" s="12" t="s">
        <v>37</v>
      </c>
      <c r="D59" s="9" t="s">
        <v>38</v>
      </c>
      <c r="E59" s="9" t="s">
        <v>86</v>
      </c>
      <c r="F59" s="9" t="s">
        <v>133</v>
      </c>
      <c r="G59" s="9" t="s">
        <v>41</v>
      </c>
      <c r="H59" s="11" t="n">
        <v>45370.34</v>
      </c>
    </row>
    <row r="60" customFormat="false" ht="15" hidden="false" customHeight="false" outlineLevel="0" collapsed="false">
      <c r="A60" s="8" t="n">
        <v>46072</v>
      </c>
      <c r="B60" s="9" t="s">
        <v>108</v>
      </c>
      <c r="C60" s="12" t="s">
        <v>37</v>
      </c>
      <c r="D60" s="9" t="s">
        <v>42</v>
      </c>
      <c r="E60" s="9" t="s">
        <v>88</v>
      </c>
      <c r="F60" s="9" t="s">
        <v>133</v>
      </c>
      <c r="G60" s="9" t="s">
        <v>44</v>
      </c>
      <c r="H60" s="11" t="n">
        <v>32278.91</v>
      </c>
    </row>
    <row r="61" customFormat="false" ht="15" hidden="false" customHeight="false" outlineLevel="0" collapsed="false">
      <c r="A61" s="8" t="n">
        <v>46073</v>
      </c>
      <c r="B61" s="9" t="s">
        <v>108</v>
      </c>
      <c r="C61" s="10" t="s">
        <v>22</v>
      </c>
      <c r="D61" s="9" t="s">
        <v>45</v>
      </c>
      <c r="E61" s="9" t="s">
        <v>89</v>
      </c>
      <c r="F61" s="9" t="s">
        <v>134</v>
      </c>
      <c r="G61" s="9" t="s">
        <v>48</v>
      </c>
      <c r="H61" s="11" t="n">
        <v>18288.62</v>
      </c>
    </row>
    <row r="62" customFormat="false" ht="15" hidden="false" customHeight="false" outlineLevel="0" collapsed="false">
      <c r="A62" s="8" t="n">
        <v>46073</v>
      </c>
      <c r="B62" s="9" t="s">
        <v>108</v>
      </c>
      <c r="C62" s="10" t="s">
        <v>22</v>
      </c>
      <c r="D62" s="9" t="s">
        <v>91</v>
      </c>
      <c r="E62" s="9" t="s">
        <v>92</v>
      </c>
      <c r="F62" s="9" t="s">
        <v>135</v>
      </c>
      <c r="G62" s="9" t="s">
        <v>94</v>
      </c>
      <c r="H62" s="11" t="n">
        <v>15300</v>
      </c>
    </row>
    <row r="63" customFormat="false" ht="15" hidden="false" customHeight="false" outlineLevel="0" collapsed="false">
      <c r="A63" s="8" t="n">
        <v>46073</v>
      </c>
      <c r="B63" s="9" t="s">
        <v>108</v>
      </c>
      <c r="C63" s="10" t="s">
        <v>22</v>
      </c>
      <c r="D63" s="9" t="s">
        <v>63</v>
      </c>
      <c r="E63" s="9" t="s">
        <v>64</v>
      </c>
      <c r="F63" s="9" t="s">
        <v>136</v>
      </c>
      <c r="G63" s="9" t="s">
        <v>36</v>
      </c>
      <c r="H63" s="11" t="n">
        <v>4498.86</v>
      </c>
    </row>
    <row r="64" customFormat="false" ht="15" hidden="false" customHeight="false" outlineLevel="0" collapsed="false">
      <c r="A64" s="8" t="n">
        <v>46075</v>
      </c>
      <c r="B64" s="9" t="s">
        <v>108</v>
      </c>
      <c r="C64" s="10" t="s">
        <v>22</v>
      </c>
      <c r="D64" s="9" t="s">
        <v>33</v>
      </c>
      <c r="E64" s="9" t="s">
        <v>129</v>
      </c>
      <c r="F64" s="9" t="s">
        <v>137</v>
      </c>
      <c r="G64" s="9" t="s">
        <v>36</v>
      </c>
      <c r="H64" s="11" t="n">
        <v>29046.71</v>
      </c>
    </row>
    <row r="65" customFormat="false" ht="15" hidden="false" customHeight="false" outlineLevel="0" collapsed="false">
      <c r="A65" s="8" t="n">
        <v>46078</v>
      </c>
      <c r="B65" s="9" t="s">
        <v>108</v>
      </c>
      <c r="C65" s="10" t="s">
        <v>22</v>
      </c>
      <c r="D65" s="9" t="s">
        <v>97</v>
      </c>
      <c r="E65" s="9" t="s">
        <v>98</v>
      </c>
      <c r="F65" s="9" t="s">
        <v>138</v>
      </c>
      <c r="G65" s="9" t="s">
        <v>36</v>
      </c>
      <c r="H65" s="11" t="n">
        <v>2350</v>
      </c>
    </row>
    <row r="66" customFormat="false" ht="15" hidden="false" customHeight="false" outlineLevel="0" collapsed="false">
      <c r="A66" s="8" t="n">
        <v>46079</v>
      </c>
      <c r="B66" s="9" t="s">
        <v>108</v>
      </c>
      <c r="C66" s="12" t="s">
        <v>37</v>
      </c>
      <c r="D66" s="9" t="s">
        <v>38</v>
      </c>
      <c r="E66" s="9" t="s">
        <v>100</v>
      </c>
      <c r="F66" s="9" t="s">
        <v>139</v>
      </c>
      <c r="G66" s="9" t="s">
        <v>41</v>
      </c>
      <c r="H66" s="11" t="n">
        <v>39283.03</v>
      </c>
    </row>
    <row r="67" customFormat="false" ht="15" hidden="false" customHeight="false" outlineLevel="0" collapsed="false">
      <c r="A67" s="8" t="n">
        <v>46081</v>
      </c>
      <c r="B67" s="9" t="s">
        <v>108</v>
      </c>
      <c r="C67" s="10" t="s">
        <v>22</v>
      </c>
      <c r="D67" s="9" t="s">
        <v>102</v>
      </c>
      <c r="E67" s="9" t="s">
        <v>103</v>
      </c>
      <c r="F67" s="9" t="s">
        <v>140</v>
      </c>
      <c r="G67" s="9" t="s">
        <v>105</v>
      </c>
      <c r="H67" s="11" t="n">
        <v>3650.12</v>
      </c>
    </row>
    <row r="68" customFormat="false" ht="15" hidden="false" customHeight="false" outlineLevel="0" collapsed="false">
      <c r="A68" s="8" t="n">
        <v>46081</v>
      </c>
      <c r="B68" s="9" t="s">
        <v>108</v>
      </c>
      <c r="C68" s="10" t="s">
        <v>22</v>
      </c>
      <c r="D68" s="9" t="s">
        <v>102</v>
      </c>
      <c r="E68" s="9" t="s">
        <v>106</v>
      </c>
      <c r="F68" s="9" t="s">
        <v>141</v>
      </c>
      <c r="G68" s="9" t="s">
        <v>105</v>
      </c>
      <c r="H68" s="11" t="n">
        <v>2999.88</v>
      </c>
    </row>
    <row r="69" customFormat="false" ht="15" hidden="false" customHeight="false" outlineLevel="0" collapsed="false">
      <c r="A69" s="8" t="n">
        <v>46083</v>
      </c>
      <c r="B69" s="9" t="s">
        <v>142</v>
      </c>
      <c r="C69" s="10" t="s">
        <v>22</v>
      </c>
      <c r="D69" s="9" t="s">
        <v>23</v>
      </c>
      <c r="E69" s="9" t="s">
        <v>24</v>
      </c>
      <c r="F69" s="9" t="s">
        <v>143</v>
      </c>
      <c r="G69" s="9" t="s">
        <v>26</v>
      </c>
      <c r="H69" s="11" t="n">
        <v>890</v>
      </c>
    </row>
    <row r="70" customFormat="false" ht="15" hidden="false" customHeight="false" outlineLevel="0" collapsed="false">
      <c r="A70" s="8" t="n">
        <v>46083</v>
      </c>
      <c r="B70" s="9" t="s">
        <v>142</v>
      </c>
      <c r="C70" s="10" t="s">
        <v>22</v>
      </c>
      <c r="D70" s="9" t="s">
        <v>23</v>
      </c>
      <c r="E70" s="9" t="s">
        <v>27</v>
      </c>
      <c r="F70" s="9" t="s">
        <v>144</v>
      </c>
      <c r="G70" s="9" t="s">
        <v>26</v>
      </c>
      <c r="H70" s="11" t="n">
        <v>350</v>
      </c>
    </row>
    <row r="71" customFormat="false" ht="15" hidden="false" customHeight="false" outlineLevel="0" collapsed="false">
      <c r="A71" s="8" t="n">
        <v>46084</v>
      </c>
      <c r="B71" s="9" t="s">
        <v>142</v>
      </c>
      <c r="C71" s="10" t="s">
        <v>22</v>
      </c>
      <c r="D71" s="9" t="s">
        <v>29</v>
      </c>
      <c r="E71" s="9" t="s">
        <v>30</v>
      </c>
      <c r="F71" s="9" t="s">
        <v>145</v>
      </c>
      <c r="G71" s="9" t="s">
        <v>32</v>
      </c>
      <c r="H71" s="11" t="n">
        <v>450</v>
      </c>
    </row>
    <row r="72" customFormat="false" ht="15" hidden="false" customHeight="false" outlineLevel="0" collapsed="false">
      <c r="A72" s="8" t="n">
        <v>46085</v>
      </c>
      <c r="B72" s="9" t="s">
        <v>142</v>
      </c>
      <c r="C72" s="10" t="s">
        <v>22</v>
      </c>
      <c r="D72" s="9" t="s">
        <v>33</v>
      </c>
      <c r="E72" s="9" t="s">
        <v>146</v>
      </c>
      <c r="F72" s="9" t="s">
        <v>147</v>
      </c>
      <c r="G72" s="9" t="s">
        <v>36</v>
      </c>
      <c r="H72" s="11" t="n">
        <v>28273.08</v>
      </c>
    </row>
    <row r="73" customFormat="false" ht="15" hidden="false" customHeight="false" outlineLevel="0" collapsed="false">
      <c r="A73" s="8" t="n">
        <v>46086</v>
      </c>
      <c r="B73" s="9" t="s">
        <v>142</v>
      </c>
      <c r="C73" s="12" t="s">
        <v>37</v>
      </c>
      <c r="D73" s="9" t="s">
        <v>38</v>
      </c>
      <c r="E73" s="9" t="s">
        <v>39</v>
      </c>
      <c r="F73" s="9" t="s">
        <v>148</v>
      </c>
      <c r="G73" s="9" t="s">
        <v>41</v>
      </c>
      <c r="H73" s="11" t="n">
        <v>34391.32</v>
      </c>
    </row>
    <row r="74" customFormat="false" ht="15" hidden="false" customHeight="false" outlineLevel="0" collapsed="false">
      <c r="A74" s="8" t="n">
        <v>46086</v>
      </c>
      <c r="B74" s="9" t="s">
        <v>142</v>
      </c>
      <c r="C74" s="12" t="s">
        <v>37</v>
      </c>
      <c r="D74" s="9" t="s">
        <v>42</v>
      </c>
      <c r="E74" s="9" t="s">
        <v>43</v>
      </c>
      <c r="F74" s="9" t="s">
        <v>148</v>
      </c>
      <c r="G74" s="9" t="s">
        <v>44</v>
      </c>
      <c r="H74" s="11" t="n">
        <v>26977.69</v>
      </c>
    </row>
    <row r="75" customFormat="false" ht="15" hidden="false" customHeight="false" outlineLevel="0" collapsed="false">
      <c r="A75" s="8" t="n">
        <v>46086</v>
      </c>
      <c r="B75" s="9" t="s">
        <v>142</v>
      </c>
      <c r="C75" s="10" t="s">
        <v>22</v>
      </c>
      <c r="D75" s="9" t="s">
        <v>45</v>
      </c>
      <c r="E75" s="9" t="s">
        <v>46</v>
      </c>
      <c r="F75" s="9" t="s">
        <v>149</v>
      </c>
      <c r="G75" s="9" t="s">
        <v>48</v>
      </c>
      <c r="H75" s="11" t="n">
        <v>18446.8</v>
      </c>
    </row>
    <row r="76" customFormat="false" ht="15" hidden="false" customHeight="false" outlineLevel="0" collapsed="false">
      <c r="A76" s="8" t="n">
        <v>46088</v>
      </c>
      <c r="B76" s="9" t="s">
        <v>142</v>
      </c>
      <c r="C76" s="10" t="s">
        <v>22</v>
      </c>
      <c r="D76" s="9" t="s">
        <v>49</v>
      </c>
      <c r="E76" s="9" t="s">
        <v>49</v>
      </c>
      <c r="F76" s="9" t="s">
        <v>150</v>
      </c>
      <c r="G76" s="9" t="s">
        <v>48</v>
      </c>
      <c r="H76" s="11" t="n">
        <v>12200</v>
      </c>
    </row>
    <row r="77" customFormat="false" ht="15" hidden="false" customHeight="false" outlineLevel="0" collapsed="false">
      <c r="A77" s="8" t="n">
        <v>46088</v>
      </c>
      <c r="B77" s="9" t="s">
        <v>142</v>
      </c>
      <c r="C77" s="10" t="s">
        <v>22</v>
      </c>
      <c r="D77" s="9" t="s">
        <v>51</v>
      </c>
      <c r="E77" s="9" t="s">
        <v>51</v>
      </c>
      <c r="F77" s="9" t="s">
        <v>151</v>
      </c>
      <c r="G77" s="9" t="s">
        <v>48</v>
      </c>
      <c r="H77" s="11" t="n">
        <v>18000</v>
      </c>
    </row>
    <row r="78" customFormat="false" ht="15" hidden="false" customHeight="false" outlineLevel="0" collapsed="false">
      <c r="A78" s="8" t="n">
        <v>46088</v>
      </c>
      <c r="B78" s="9" t="s">
        <v>142</v>
      </c>
      <c r="C78" s="10" t="s">
        <v>22</v>
      </c>
      <c r="D78" s="9" t="s">
        <v>53</v>
      </c>
      <c r="E78" s="9" t="s">
        <v>53</v>
      </c>
      <c r="F78" s="9" t="s">
        <v>152</v>
      </c>
      <c r="G78" s="9" t="s">
        <v>48</v>
      </c>
      <c r="H78" s="11" t="n">
        <v>1450</v>
      </c>
    </row>
    <row r="79" customFormat="false" ht="15" hidden="false" customHeight="false" outlineLevel="0" collapsed="false">
      <c r="A79" s="8" t="n">
        <v>46088</v>
      </c>
      <c r="B79" s="9" t="s">
        <v>142</v>
      </c>
      <c r="C79" s="10" t="s">
        <v>22</v>
      </c>
      <c r="D79" s="9" t="s">
        <v>55</v>
      </c>
      <c r="E79" s="9" t="s">
        <v>55</v>
      </c>
      <c r="F79" s="9" t="s">
        <v>153</v>
      </c>
      <c r="G79" s="9" t="s">
        <v>48</v>
      </c>
      <c r="H79" s="11" t="n">
        <v>1800</v>
      </c>
    </row>
    <row r="80" customFormat="false" ht="15" hidden="false" customHeight="false" outlineLevel="0" collapsed="false">
      <c r="A80" s="8" t="n">
        <v>46088</v>
      </c>
      <c r="B80" s="9" t="s">
        <v>142</v>
      </c>
      <c r="C80" s="10" t="s">
        <v>22</v>
      </c>
      <c r="D80" s="9" t="s">
        <v>57</v>
      </c>
      <c r="E80" s="9" t="s">
        <v>57</v>
      </c>
      <c r="F80" s="9" t="s">
        <v>154</v>
      </c>
      <c r="G80" s="9" t="s">
        <v>48</v>
      </c>
      <c r="H80" s="11" t="n">
        <v>2800</v>
      </c>
    </row>
    <row r="81" customFormat="false" ht="15" hidden="false" customHeight="false" outlineLevel="0" collapsed="false">
      <c r="A81" s="8" t="n">
        <v>46088</v>
      </c>
      <c r="B81" s="9" t="s">
        <v>142</v>
      </c>
      <c r="C81" s="10" t="s">
        <v>22</v>
      </c>
      <c r="D81" s="9" t="s">
        <v>59</v>
      </c>
      <c r="E81" s="9" t="s">
        <v>59</v>
      </c>
      <c r="F81" s="9" t="s">
        <v>155</v>
      </c>
      <c r="G81" s="9" t="s">
        <v>48</v>
      </c>
      <c r="H81" s="11" t="n">
        <v>1600</v>
      </c>
    </row>
    <row r="82" customFormat="false" ht="15" hidden="false" customHeight="false" outlineLevel="0" collapsed="false">
      <c r="A82" s="8" t="n">
        <v>46088</v>
      </c>
      <c r="B82" s="9" t="s">
        <v>142</v>
      </c>
      <c r="C82" s="10" t="s">
        <v>22</v>
      </c>
      <c r="D82" s="9" t="s">
        <v>61</v>
      </c>
      <c r="E82" s="9" t="s">
        <v>61</v>
      </c>
      <c r="F82" s="9" t="s">
        <v>156</v>
      </c>
      <c r="G82" s="9" t="s">
        <v>48</v>
      </c>
      <c r="H82" s="11" t="n">
        <v>1350</v>
      </c>
    </row>
    <row r="83" customFormat="false" ht="15" hidden="false" customHeight="false" outlineLevel="0" collapsed="false">
      <c r="A83" s="8" t="n">
        <v>46089</v>
      </c>
      <c r="B83" s="9" t="s">
        <v>142</v>
      </c>
      <c r="C83" s="10" t="s">
        <v>22</v>
      </c>
      <c r="D83" s="9" t="s">
        <v>63</v>
      </c>
      <c r="E83" s="9" t="s">
        <v>64</v>
      </c>
      <c r="F83" s="9" t="s">
        <v>157</v>
      </c>
      <c r="G83" s="9" t="s">
        <v>36</v>
      </c>
      <c r="H83" s="11" t="n">
        <v>6261.24</v>
      </c>
    </row>
    <row r="84" customFormat="false" ht="15" hidden="false" customHeight="false" outlineLevel="0" collapsed="false">
      <c r="A84" s="8" t="n">
        <v>46090</v>
      </c>
      <c r="B84" s="9" t="s">
        <v>142</v>
      </c>
      <c r="C84" s="10" t="s">
        <v>22</v>
      </c>
      <c r="D84" s="9" t="s">
        <v>66</v>
      </c>
      <c r="E84" s="9" t="s">
        <v>67</v>
      </c>
      <c r="F84" s="9" t="s">
        <v>158</v>
      </c>
      <c r="G84" s="9" t="s">
        <v>26</v>
      </c>
      <c r="H84" s="11" t="n">
        <v>7500</v>
      </c>
    </row>
    <row r="85" customFormat="false" ht="15" hidden="false" customHeight="false" outlineLevel="0" collapsed="false">
      <c r="A85" s="8" t="n">
        <v>46091</v>
      </c>
      <c r="B85" s="9" t="s">
        <v>142</v>
      </c>
      <c r="C85" s="10" t="s">
        <v>22</v>
      </c>
      <c r="D85" s="9" t="s">
        <v>33</v>
      </c>
      <c r="E85" s="9" t="s">
        <v>69</v>
      </c>
      <c r="F85" s="9" t="s">
        <v>159</v>
      </c>
      <c r="G85" s="9" t="s">
        <v>36</v>
      </c>
      <c r="H85" s="11" t="n">
        <v>28632.89</v>
      </c>
    </row>
    <row r="86" customFormat="false" ht="15" hidden="false" customHeight="false" outlineLevel="0" collapsed="false">
      <c r="A86" s="8" t="n">
        <v>46091</v>
      </c>
      <c r="B86" s="9" t="s">
        <v>142</v>
      </c>
      <c r="C86" s="10" t="s">
        <v>22</v>
      </c>
      <c r="D86" s="9" t="s">
        <v>71</v>
      </c>
      <c r="E86" s="9" t="s">
        <v>72</v>
      </c>
      <c r="F86" s="9" t="s">
        <v>160</v>
      </c>
      <c r="G86" s="9" t="s">
        <v>74</v>
      </c>
      <c r="H86" s="11" t="n">
        <v>6100</v>
      </c>
    </row>
    <row r="87" customFormat="false" ht="15" hidden="false" customHeight="false" outlineLevel="0" collapsed="false">
      <c r="A87" s="8" t="n">
        <v>46093</v>
      </c>
      <c r="B87" s="9" t="s">
        <v>142</v>
      </c>
      <c r="C87" s="12" t="s">
        <v>37</v>
      </c>
      <c r="D87" s="9" t="s">
        <v>38</v>
      </c>
      <c r="E87" s="9" t="s">
        <v>75</v>
      </c>
      <c r="F87" s="9" t="s">
        <v>161</v>
      </c>
      <c r="G87" s="9" t="s">
        <v>41</v>
      </c>
      <c r="H87" s="11" t="n">
        <v>35815.29</v>
      </c>
    </row>
    <row r="88" customFormat="false" ht="15" hidden="false" customHeight="false" outlineLevel="0" collapsed="false">
      <c r="A88" s="8" t="n">
        <v>46093</v>
      </c>
      <c r="B88" s="9" t="s">
        <v>142</v>
      </c>
      <c r="C88" s="12" t="s">
        <v>37</v>
      </c>
      <c r="D88" s="9" t="s">
        <v>42</v>
      </c>
      <c r="E88" s="9" t="s">
        <v>77</v>
      </c>
      <c r="F88" s="9" t="s">
        <v>161</v>
      </c>
      <c r="G88" s="9" t="s">
        <v>44</v>
      </c>
      <c r="H88" s="11" t="n">
        <v>25272.76</v>
      </c>
    </row>
    <row r="89" customFormat="false" ht="15" hidden="false" customHeight="false" outlineLevel="0" collapsed="false">
      <c r="A89" s="8" t="n">
        <v>46093</v>
      </c>
      <c r="B89" s="9" t="s">
        <v>142</v>
      </c>
      <c r="C89" s="10" t="s">
        <v>22</v>
      </c>
      <c r="D89" s="9" t="s">
        <v>78</v>
      </c>
      <c r="E89" s="9" t="s">
        <v>79</v>
      </c>
      <c r="F89" s="9" t="s">
        <v>162</v>
      </c>
      <c r="G89" s="9" t="s">
        <v>74</v>
      </c>
      <c r="H89" s="11" t="n">
        <v>1010</v>
      </c>
    </row>
    <row r="90" customFormat="false" ht="15" hidden="false" customHeight="false" outlineLevel="0" collapsed="false">
      <c r="A90" s="8" t="n">
        <v>46095</v>
      </c>
      <c r="B90" s="9" t="s">
        <v>142</v>
      </c>
      <c r="C90" s="10" t="s">
        <v>22</v>
      </c>
      <c r="D90" s="9" t="s">
        <v>163</v>
      </c>
      <c r="E90" s="9" t="s">
        <v>164</v>
      </c>
      <c r="F90" s="9" t="s">
        <v>165</v>
      </c>
      <c r="G90" s="9" t="s">
        <v>48</v>
      </c>
      <c r="H90" s="11" t="n">
        <v>48000</v>
      </c>
    </row>
    <row r="91" customFormat="false" ht="15" hidden="false" customHeight="false" outlineLevel="0" collapsed="false">
      <c r="A91" s="8" t="n">
        <v>46096</v>
      </c>
      <c r="B91" s="9" t="s">
        <v>142</v>
      </c>
      <c r="C91" s="10" t="s">
        <v>22</v>
      </c>
      <c r="D91" s="9" t="s">
        <v>81</v>
      </c>
      <c r="E91" s="9" t="s">
        <v>82</v>
      </c>
      <c r="F91" s="9" t="s">
        <v>166</v>
      </c>
      <c r="G91" s="9" t="s">
        <v>26</v>
      </c>
      <c r="H91" s="11" t="n">
        <v>680</v>
      </c>
    </row>
    <row r="92" customFormat="false" ht="15" hidden="false" customHeight="false" outlineLevel="0" collapsed="false">
      <c r="A92" s="8" t="n">
        <v>46097</v>
      </c>
      <c r="B92" s="9" t="s">
        <v>142</v>
      </c>
      <c r="C92" s="10" t="s">
        <v>22</v>
      </c>
      <c r="D92" s="9" t="s">
        <v>33</v>
      </c>
      <c r="E92" s="9" t="s">
        <v>167</v>
      </c>
      <c r="F92" s="9" t="s">
        <v>168</v>
      </c>
      <c r="G92" s="9" t="s">
        <v>36</v>
      </c>
      <c r="H92" s="11" t="n">
        <v>31134.98</v>
      </c>
    </row>
    <row r="93" customFormat="false" ht="15" hidden="false" customHeight="false" outlineLevel="0" collapsed="false">
      <c r="A93" s="8" t="n">
        <v>46099</v>
      </c>
      <c r="B93" s="9" t="s">
        <v>142</v>
      </c>
      <c r="C93" s="10" t="s">
        <v>22</v>
      </c>
      <c r="D93" s="9" t="s">
        <v>66</v>
      </c>
      <c r="E93" s="9" t="s">
        <v>169</v>
      </c>
      <c r="F93" s="9" t="s">
        <v>170</v>
      </c>
      <c r="G93" s="9" t="s">
        <v>48</v>
      </c>
      <c r="H93" s="11" t="n">
        <v>24000</v>
      </c>
    </row>
    <row r="94" customFormat="false" ht="15" hidden="false" customHeight="false" outlineLevel="0" collapsed="false">
      <c r="A94" s="8" t="n">
        <v>46100</v>
      </c>
      <c r="B94" s="9" t="s">
        <v>142</v>
      </c>
      <c r="C94" s="12" t="s">
        <v>37</v>
      </c>
      <c r="D94" s="9" t="s">
        <v>38</v>
      </c>
      <c r="E94" s="9" t="s">
        <v>86</v>
      </c>
      <c r="F94" s="9" t="s">
        <v>171</v>
      </c>
      <c r="G94" s="9" t="s">
        <v>41</v>
      </c>
      <c r="H94" s="11" t="n">
        <v>41603.47</v>
      </c>
    </row>
    <row r="95" customFormat="false" ht="15" hidden="false" customHeight="false" outlineLevel="0" collapsed="false">
      <c r="A95" s="8" t="n">
        <v>46100</v>
      </c>
      <c r="B95" s="9" t="s">
        <v>142</v>
      </c>
      <c r="C95" s="12" t="s">
        <v>37</v>
      </c>
      <c r="D95" s="9" t="s">
        <v>42</v>
      </c>
      <c r="E95" s="9" t="s">
        <v>88</v>
      </c>
      <c r="F95" s="9" t="s">
        <v>171</v>
      </c>
      <c r="G95" s="9" t="s">
        <v>44</v>
      </c>
      <c r="H95" s="11" t="n">
        <v>30749.55</v>
      </c>
    </row>
    <row r="96" customFormat="false" ht="15" hidden="false" customHeight="false" outlineLevel="0" collapsed="false">
      <c r="A96" s="8" t="n">
        <v>46101</v>
      </c>
      <c r="B96" s="9" t="s">
        <v>142</v>
      </c>
      <c r="C96" s="10" t="s">
        <v>22</v>
      </c>
      <c r="D96" s="9" t="s">
        <v>45</v>
      </c>
      <c r="E96" s="9" t="s">
        <v>89</v>
      </c>
      <c r="F96" s="9" t="s">
        <v>172</v>
      </c>
      <c r="G96" s="9" t="s">
        <v>48</v>
      </c>
      <c r="H96" s="11" t="n">
        <v>18053.2</v>
      </c>
    </row>
    <row r="97" customFormat="false" ht="15" hidden="false" customHeight="false" outlineLevel="0" collapsed="false">
      <c r="A97" s="8" t="n">
        <v>46101</v>
      </c>
      <c r="B97" s="9" t="s">
        <v>142</v>
      </c>
      <c r="C97" s="10" t="s">
        <v>22</v>
      </c>
      <c r="D97" s="9" t="s">
        <v>91</v>
      </c>
      <c r="E97" s="9" t="s">
        <v>92</v>
      </c>
      <c r="F97" s="9" t="s">
        <v>173</v>
      </c>
      <c r="G97" s="9" t="s">
        <v>94</v>
      </c>
      <c r="H97" s="11" t="n">
        <v>14500</v>
      </c>
    </row>
    <row r="98" customFormat="false" ht="15" hidden="false" customHeight="false" outlineLevel="0" collapsed="false">
      <c r="A98" s="8" t="n">
        <v>46101</v>
      </c>
      <c r="B98" s="9" t="s">
        <v>142</v>
      </c>
      <c r="C98" s="10" t="s">
        <v>22</v>
      </c>
      <c r="D98" s="9" t="s">
        <v>63</v>
      </c>
      <c r="E98" s="9" t="s">
        <v>64</v>
      </c>
      <c r="F98" s="9" t="s">
        <v>174</v>
      </c>
      <c r="G98" s="9" t="s">
        <v>36</v>
      </c>
      <c r="H98" s="11" t="n">
        <v>6938.76</v>
      </c>
    </row>
    <row r="99" customFormat="false" ht="15" hidden="false" customHeight="false" outlineLevel="0" collapsed="false">
      <c r="A99" s="8" t="n">
        <v>46103</v>
      </c>
      <c r="B99" s="9" t="s">
        <v>142</v>
      </c>
      <c r="C99" s="10" t="s">
        <v>22</v>
      </c>
      <c r="D99" s="9" t="s">
        <v>33</v>
      </c>
      <c r="E99" s="9" t="s">
        <v>34</v>
      </c>
      <c r="F99" s="9" t="s">
        <v>175</v>
      </c>
      <c r="G99" s="9" t="s">
        <v>36</v>
      </c>
      <c r="H99" s="11" t="n">
        <v>27959.05</v>
      </c>
    </row>
    <row r="100" customFormat="false" ht="15" hidden="false" customHeight="false" outlineLevel="0" collapsed="false">
      <c r="A100" s="8" t="n">
        <v>46103</v>
      </c>
      <c r="B100" s="9" t="s">
        <v>142</v>
      </c>
      <c r="C100" s="10" t="s">
        <v>22</v>
      </c>
      <c r="D100" s="9" t="s">
        <v>29</v>
      </c>
      <c r="E100" s="9" t="s">
        <v>176</v>
      </c>
      <c r="F100" s="9" t="s">
        <v>177</v>
      </c>
      <c r="G100" s="9" t="s">
        <v>32</v>
      </c>
      <c r="H100" s="11" t="n">
        <v>3500</v>
      </c>
    </row>
    <row r="101" customFormat="false" ht="15" hidden="false" customHeight="false" outlineLevel="0" collapsed="false">
      <c r="A101" s="8" t="n">
        <v>46106</v>
      </c>
      <c r="B101" s="9" t="s">
        <v>142</v>
      </c>
      <c r="C101" s="10" t="s">
        <v>22</v>
      </c>
      <c r="D101" s="9" t="s">
        <v>97</v>
      </c>
      <c r="E101" s="9" t="s">
        <v>98</v>
      </c>
      <c r="F101" s="9" t="s">
        <v>178</v>
      </c>
      <c r="G101" s="9" t="s">
        <v>36</v>
      </c>
      <c r="H101" s="11" t="n">
        <v>2500</v>
      </c>
    </row>
    <row r="102" customFormat="false" ht="15" hidden="false" customHeight="false" outlineLevel="0" collapsed="false">
      <c r="A102" s="8" t="n">
        <v>46107</v>
      </c>
      <c r="B102" s="9" t="s">
        <v>142</v>
      </c>
      <c r="C102" s="12" t="s">
        <v>37</v>
      </c>
      <c r="D102" s="9" t="s">
        <v>38</v>
      </c>
      <c r="E102" s="9" t="s">
        <v>100</v>
      </c>
      <c r="F102" s="9" t="s">
        <v>179</v>
      </c>
      <c r="G102" s="9" t="s">
        <v>41</v>
      </c>
      <c r="H102" s="11" t="n">
        <v>46189.92</v>
      </c>
    </row>
    <row r="103" customFormat="false" ht="15" hidden="false" customHeight="false" outlineLevel="0" collapsed="false">
      <c r="A103" s="8" t="n">
        <v>46109</v>
      </c>
      <c r="B103" s="9" t="s">
        <v>142</v>
      </c>
      <c r="C103" s="10" t="s">
        <v>22</v>
      </c>
      <c r="D103" s="9" t="s">
        <v>102</v>
      </c>
      <c r="E103" s="9" t="s">
        <v>103</v>
      </c>
      <c r="F103" s="9" t="s">
        <v>180</v>
      </c>
      <c r="G103" s="9" t="s">
        <v>105</v>
      </c>
      <c r="H103" s="11" t="n">
        <v>3232.89</v>
      </c>
    </row>
    <row r="104" customFormat="false" ht="15" hidden="false" customHeight="false" outlineLevel="0" collapsed="false">
      <c r="A104" s="8" t="n">
        <v>46109</v>
      </c>
      <c r="B104" s="9" t="s">
        <v>142</v>
      </c>
      <c r="C104" s="10" t="s">
        <v>22</v>
      </c>
      <c r="D104" s="9" t="s">
        <v>102</v>
      </c>
      <c r="E104" s="9" t="s">
        <v>106</v>
      </c>
      <c r="F104" s="9" t="s">
        <v>181</v>
      </c>
      <c r="G104" s="9" t="s">
        <v>105</v>
      </c>
      <c r="H104" s="11" t="n">
        <v>3267.11</v>
      </c>
    </row>
    <row r="106" customFormat="false" ht="15" hidden="false" customHeight="false" outlineLevel="0" collapsed="false">
      <c r="G106" s="13" t="s">
        <v>182</v>
      </c>
      <c r="H106" s="14" t="n">
        <f aca="false">SUMIF(C2:C104,"Receita",H2:H104)</f>
        <v>764000</v>
      </c>
    </row>
    <row r="107" customFormat="false" ht="15" hidden="false" customHeight="false" outlineLevel="0" collapsed="false">
      <c r="G107" s="13" t="s">
        <v>183</v>
      </c>
      <c r="H107" s="15" t="n">
        <f aca="false">SUMIF(C2:C104,"Despesa",H2:H104)</f>
        <v>828270</v>
      </c>
    </row>
    <row r="108" customFormat="false" ht="15" hidden="false" customHeight="false" outlineLevel="0" collapsed="false">
      <c r="G108" s="13" t="s">
        <v>184</v>
      </c>
      <c r="H108" s="16" t="n">
        <f aca="false">H106-H107</f>
        <v>-64270</v>
      </c>
    </row>
  </sheetData>
  <autoFilter ref="A1:H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5"/>
    <col collapsed="false" customWidth="true" hidden="false" outlineLevel="0" max="5" min="5" style="1" width="16"/>
    <col collapsed="false" customWidth="true" hidden="false" outlineLevel="0" max="6" min="6" style="1" width="11"/>
  </cols>
  <sheetData>
    <row r="1" customFormat="false" ht="17.35" hidden="false" customHeight="false" outlineLevel="0" collapsed="false">
      <c r="A1" s="17" t="s">
        <v>185</v>
      </c>
    </row>
    <row r="3" customFormat="false" ht="15" hidden="false" customHeight="false" outlineLevel="0" collapsed="false">
      <c r="A3" s="18" t="s">
        <v>16</v>
      </c>
      <c r="B3" s="18" t="s">
        <v>21</v>
      </c>
      <c r="C3" s="18" t="s">
        <v>108</v>
      </c>
      <c r="D3" s="18" t="s">
        <v>142</v>
      </c>
      <c r="E3" s="18" t="s">
        <v>186</v>
      </c>
      <c r="F3" s="18" t="s">
        <v>187</v>
      </c>
    </row>
    <row r="4" customFormat="false" ht="15" hidden="false" customHeight="false" outlineLevel="0" collapsed="false">
      <c r="A4" s="19" t="s">
        <v>188</v>
      </c>
    </row>
    <row r="5" customFormat="false" ht="15" hidden="false" customHeight="false" outlineLevel="0" collapsed="false">
      <c r="A5" s="20" t="s">
        <v>38</v>
      </c>
      <c r="B5" s="21" t="n">
        <f aca="false">SUMIFS(Lancamentos!$H$2:$H$104,Lancamentos!$B$2:$B$104,"Jan/2026",Lancamentos!$D$2:$D$104,"Vendas - Loja Física")</f>
        <v>182000</v>
      </c>
      <c r="C5" s="21" t="n">
        <f aca="false">SUMIFS(Lancamentos!$H$2:$H$104,Lancamentos!$B$2:$B$104,"Fev/2026",Lancamentos!$D$2:$D$104,"Vendas - Loja Física")</f>
        <v>170000</v>
      </c>
      <c r="D5" s="21" t="n">
        <f aca="false">SUMIFS(Lancamentos!$H$2:$H$104,Lancamentos!$B$2:$B$104,"Mar/2026",Lancamentos!$D$2:$D$104,"Vendas - Loja Física")</f>
        <v>158000</v>
      </c>
      <c r="E5" s="11" t="n">
        <f aca="false">SUM(B5:D5)</f>
        <v>510000</v>
      </c>
    </row>
    <row r="6" customFormat="false" ht="15" hidden="false" customHeight="false" outlineLevel="0" collapsed="false">
      <c r="A6" s="20" t="s">
        <v>42</v>
      </c>
      <c r="B6" s="21" t="n">
        <f aca="false">SUMIFS(Lancamentos!$H$2:$H$104,Lancamentos!$B$2:$B$104,"Jan/2026",Lancamentos!$D$2:$D$104,"Vendas - E-commerce")</f>
        <v>86000</v>
      </c>
      <c r="C6" s="21" t="n">
        <f aca="false">SUMIFS(Lancamentos!$H$2:$H$104,Lancamentos!$B$2:$B$104,"Fev/2026",Lancamentos!$D$2:$D$104,"Vendas - E-commerce")</f>
        <v>85000</v>
      </c>
      <c r="D6" s="21" t="n">
        <f aca="false">SUMIFS(Lancamentos!$H$2:$H$104,Lancamentos!$B$2:$B$104,"Mar/2026",Lancamentos!$D$2:$D$104,"Vendas - E-commerce")</f>
        <v>83000</v>
      </c>
      <c r="E6" s="11" t="n">
        <f aca="false">SUM(B6:D6)</f>
        <v>254000</v>
      </c>
    </row>
    <row r="7" customFormat="false" ht="15" hidden="false" customHeight="false" outlineLevel="0" collapsed="false">
      <c r="A7" s="13" t="s">
        <v>182</v>
      </c>
      <c r="B7" s="22" t="n">
        <f aca="false">SUM(B5:B6)</f>
        <v>268000</v>
      </c>
      <c r="C7" s="22" t="n">
        <f aca="false">SUM(C5:C6)</f>
        <v>255000</v>
      </c>
      <c r="D7" s="22" t="n">
        <f aca="false">SUM(D5:D6)</f>
        <v>241000</v>
      </c>
      <c r="E7" s="22" t="n">
        <f aca="false">SUM(E5:E6)</f>
        <v>764000</v>
      </c>
    </row>
    <row r="8" customFormat="false" ht="15" hidden="false" customHeight="false" outlineLevel="0" collapsed="false">
      <c r="B8" s="23"/>
      <c r="C8" s="23"/>
      <c r="D8" s="23"/>
      <c r="E8" s="23"/>
    </row>
    <row r="9" customFormat="false" ht="15" hidden="false" customHeight="false" outlineLevel="0" collapsed="false">
      <c r="A9" s="19" t="s">
        <v>189</v>
      </c>
      <c r="B9" s="23"/>
      <c r="C9" s="23"/>
      <c r="D9" s="23"/>
      <c r="E9" s="23"/>
    </row>
    <row r="10" customFormat="false" ht="15" hidden="false" customHeight="false" outlineLevel="0" collapsed="false">
      <c r="A10" s="20" t="s">
        <v>51</v>
      </c>
      <c r="B10" s="21" t="n">
        <f aca="false">SUMIFS(Lancamentos!$H$2:$H$104,Lancamentos!$B$2:$B$104,"Jan/2026",Lancamentos!$D$2:$D$104,"Aluguel")</f>
        <v>18000</v>
      </c>
      <c r="C10" s="21" t="n">
        <f aca="false">SUMIFS(Lancamentos!$H$2:$H$104,Lancamentos!$B$2:$B$104,"Fev/2026",Lancamentos!$D$2:$D$104,"Aluguel")</f>
        <v>18000</v>
      </c>
      <c r="D10" s="21" t="n">
        <f aca="false">SUMIFS(Lancamentos!$H$2:$H$104,Lancamentos!$B$2:$B$104,"Mar/2026",Lancamentos!$D$2:$D$104,"Aluguel")</f>
        <v>18000</v>
      </c>
      <c r="E10" s="11" t="n">
        <f aca="false">SUM(B10:D10)</f>
        <v>54000</v>
      </c>
      <c r="F10" s="24" t="n">
        <f aca="false">E10/$E$30</f>
        <v>0.065196131696186</v>
      </c>
    </row>
    <row r="11" customFormat="false" ht="15" hidden="false" customHeight="false" outlineLevel="0" collapsed="false">
      <c r="A11" s="20" t="s">
        <v>163</v>
      </c>
      <c r="B11" s="21" t="n">
        <f aca="false">SUMIFS(Lancamentos!$H$2:$H$104,Lancamentos!$B$2:$B$104,"Jan/2026",Lancamentos!$D$2:$D$104,"Consultoria")</f>
        <v>0</v>
      </c>
      <c r="C11" s="21" t="n">
        <f aca="false">SUMIFS(Lancamentos!$H$2:$H$104,Lancamentos!$B$2:$B$104,"Fev/2026",Lancamentos!$D$2:$D$104,"Consultoria")</f>
        <v>0</v>
      </c>
      <c r="D11" s="21" t="n">
        <f aca="false">SUMIFS(Lancamentos!$H$2:$H$104,Lancamentos!$B$2:$B$104,"Mar/2026",Lancamentos!$D$2:$D$104,"Consultoria")</f>
        <v>48000</v>
      </c>
      <c r="E11" s="11" t="n">
        <f aca="false">SUM(B11:D11)</f>
        <v>48000</v>
      </c>
      <c r="F11" s="24" t="n">
        <f aca="false">E11/$E$30</f>
        <v>0.0579521170632765</v>
      </c>
    </row>
    <row r="12" customFormat="false" ht="15" hidden="false" customHeight="false" outlineLevel="0" collapsed="false">
      <c r="A12" s="20" t="s">
        <v>57</v>
      </c>
      <c r="B12" s="21" t="n">
        <f aca="false">SUMIFS(Lancamentos!$H$2:$H$104,Lancamentos!$B$2:$B$104,"Jan/2026",Lancamentos!$D$2:$D$104,"Contabilidade")</f>
        <v>2800</v>
      </c>
      <c r="C12" s="21" t="n">
        <f aca="false">SUMIFS(Lancamentos!$H$2:$H$104,Lancamentos!$B$2:$B$104,"Fev/2026",Lancamentos!$D$2:$D$104,"Contabilidade")</f>
        <v>2800</v>
      </c>
      <c r="D12" s="21" t="n">
        <f aca="false">SUMIFS(Lancamentos!$H$2:$H$104,Lancamentos!$B$2:$B$104,"Mar/2026",Lancamentos!$D$2:$D$104,"Contabilidade")</f>
        <v>2800</v>
      </c>
      <c r="E12" s="11" t="n">
        <f aca="false">SUM(B12:D12)</f>
        <v>8400</v>
      </c>
      <c r="F12" s="24" t="n">
        <f aca="false">E12/$E$30</f>
        <v>0.0101416204860734</v>
      </c>
    </row>
    <row r="13" customFormat="false" ht="15" hidden="false" customHeight="false" outlineLevel="0" collapsed="false">
      <c r="A13" s="20" t="s">
        <v>29</v>
      </c>
      <c r="B13" s="21" t="n">
        <f aca="false">SUMIFS(Lancamentos!$H$2:$H$104,Lancamentos!$B$2:$B$104,"Jan/2026",Lancamentos!$D$2:$D$104,"Despesas Bancárias")</f>
        <v>480</v>
      </c>
      <c r="C13" s="21" t="n">
        <f aca="false">SUMIFS(Lancamentos!$H$2:$H$104,Lancamentos!$B$2:$B$104,"Fev/2026",Lancamentos!$D$2:$D$104,"Despesas Bancárias")</f>
        <v>510</v>
      </c>
      <c r="D13" s="21" t="n">
        <f aca="false">SUMIFS(Lancamentos!$H$2:$H$104,Lancamentos!$B$2:$B$104,"Mar/2026",Lancamentos!$D$2:$D$104,"Despesas Bancárias")</f>
        <v>3950</v>
      </c>
      <c r="E13" s="11" t="n">
        <f aca="false">SUM(B13:D13)</f>
        <v>4940</v>
      </c>
      <c r="F13" s="24" t="n">
        <f aca="false">E13/$E$30</f>
        <v>0.00596423871442887</v>
      </c>
    </row>
    <row r="14" customFormat="false" ht="15" hidden="false" customHeight="false" outlineLevel="0" collapsed="false">
      <c r="A14" s="20" t="s">
        <v>49</v>
      </c>
      <c r="B14" s="21" t="n">
        <f aca="false">SUMIFS(Lancamentos!$H$2:$H$104,Lancamentos!$B$2:$B$104,"Jan/2026",Lancamentos!$D$2:$D$104,"Encargos Sociais (INSS/FGTS)")</f>
        <v>12200</v>
      </c>
      <c r="C14" s="21" t="n">
        <f aca="false">SUMIFS(Lancamentos!$H$2:$H$104,Lancamentos!$B$2:$B$104,"Fev/2026",Lancamentos!$D$2:$D$104,"Encargos Sociais (INSS/FGTS)")</f>
        <v>12200</v>
      </c>
      <c r="D14" s="21" t="n">
        <f aca="false">SUMIFS(Lancamentos!$H$2:$H$104,Lancamentos!$B$2:$B$104,"Mar/2026",Lancamentos!$D$2:$D$104,"Encargos Sociais (INSS/FGTS)")</f>
        <v>12200</v>
      </c>
      <c r="E14" s="11" t="n">
        <f aca="false">SUM(B14:D14)</f>
        <v>36600</v>
      </c>
      <c r="F14" s="24" t="n">
        <f aca="false">E14/$E$30</f>
        <v>0.0441884892607483</v>
      </c>
    </row>
    <row r="15" customFormat="false" ht="15" hidden="false" customHeight="false" outlineLevel="0" collapsed="false">
      <c r="A15" s="20" t="s">
        <v>71</v>
      </c>
      <c r="B15" s="21" t="n">
        <f aca="false">SUMIFS(Lancamentos!$H$2:$H$104,Lancamentos!$B$2:$B$104,"Jan/2026",Lancamentos!$D$2:$D$104,"Energia Elétrica")</f>
        <v>5200</v>
      </c>
      <c r="C15" s="21" t="n">
        <f aca="false">SUMIFS(Lancamentos!$H$2:$H$104,Lancamentos!$B$2:$B$104,"Fev/2026",Lancamentos!$D$2:$D$104,"Energia Elétrica")</f>
        <v>5600</v>
      </c>
      <c r="D15" s="21" t="n">
        <f aca="false">SUMIFS(Lancamentos!$H$2:$H$104,Lancamentos!$B$2:$B$104,"Mar/2026",Lancamentos!$D$2:$D$104,"Energia Elétrica")</f>
        <v>6100</v>
      </c>
      <c r="E15" s="11" t="n">
        <f aca="false">SUM(B15:D15)</f>
        <v>16900</v>
      </c>
      <c r="F15" s="24" t="n">
        <f aca="false">E15/$E$30</f>
        <v>0.0204039745493619</v>
      </c>
    </row>
    <row r="16" customFormat="false" ht="15" hidden="false" customHeight="false" outlineLevel="0" collapsed="false">
      <c r="A16" s="20" t="s">
        <v>45</v>
      </c>
      <c r="B16" s="21" t="n">
        <f aca="false">SUMIFS(Lancamentos!$H$2:$H$104,Lancamentos!$B$2:$B$104,"Jan/2026",Lancamentos!$D$2:$D$104,"Folha de Pagamento")</f>
        <v>36500</v>
      </c>
      <c r="C16" s="21" t="n">
        <f aca="false">SUMIFS(Lancamentos!$H$2:$H$104,Lancamentos!$B$2:$B$104,"Fev/2026",Lancamentos!$D$2:$D$104,"Folha de Pagamento")</f>
        <v>36500</v>
      </c>
      <c r="D16" s="21" t="n">
        <f aca="false">SUMIFS(Lancamentos!$H$2:$H$104,Lancamentos!$B$2:$B$104,"Mar/2026",Lancamentos!$D$2:$D$104,"Folha de Pagamento")</f>
        <v>36500</v>
      </c>
      <c r="E16" s="11" t="n">
        <f aca="false">SUM(B16:D16)</f>
        <v>109500</v>
      </c>
      <c r="F16" s="24" t="n">
        <f aca="false">E16/$E$30</f>
        <v>0.132203267050599</v>
      </c>
    </row>
    <row r="17" customFormat="false" ht="15" hidden="false" customHeight="false" outlineLevel="0" collapsed="false">
      <c r="A17" s="20" t="s">
        <v>63</v>
      </c>
      <c r="B17" s="21" t="n">
        <f aca="false">SUMIFS(Lancamentos!$H$2:$H$104,Lancamentos!$B$2:$B$104,"Jan/2026",Lancamentos!$D$2:$D$104,"Frete e Logística")</f>
        <v>6100</v>
      </c>
      <c r="C17" s="21" t="n">
        <f aca="false">SUMIFS(Lancamentos!$H$2:$H$104,Lancamentos!$B$2:$B$104,"Fev/2026",Lancamentos!$D$2:$D$104,"Frete e Logística")</f>
        <v>9300</v>
      </c>
      <c r="D17" s="21" t="n">
        <f aca="false">SUMIFS(Lancamentos!$H$2:$H$104,Lancamentos!$B$2:$B$104,"Mar/2026",Lancamentos!$D$2:$D$104,"Frete e Logística")</f>
        <v>13200</v>
      </c>
      <c r="E17" s="11" t="n">
        <f aca="false">SUM(B17:D17)</f>
        <v>28600</v>
      </c>
      <c r="F17" s="24" t="n">
        <f aca="false">E17/$E$30</f>
        <v>0.0345298030835356</v>
      </c>
    </row>
    <row r="18" customFormat="false" ht="15" hidden="false" customHeight="false" outlineLevel="0" collapsed="false">
      <c r="A18" s="20" t="s">
        <v>91</v>
      </c>
      <c r="B18" s="21" t="n">
        <f aca="false">SUMIFS(Lancamentos!$H$2:$H$104,Lancamentos!$B$2:$B$104,"Jan/2026",Lancamentos!$D$2:$D$104,"Impostos - Simples Nacional (DAS)")</f>
        <v>16000</v>
      </c>
      <c r="C18" s="21" t="n">
        <f aca="false">SUMIFS(Lancamentos!$H$2:$H$104,Lancamentos!$B$2:$B$104,"Fev/2026",Lancamentos!$D$2:$D$104,"Impostos - Simples Nacional (DAS)")</f>
        <v>15300</v>
      </c>
      <c r="D18" s="21" t="n">
        <f aca="false">SUMIFS(Lancamentos!$H$2:$H$104,Lancamentos!$B$2:$B$104,"Mar/2026",Lancamentos!$D$2:$D$104,"Impostos - Simples Nacional (DAS)")</f>
        <v>14500</v>
      </c>
      <c r="E18" s="11" t="n">
        <f aca="false">SUM(B18:D18)</f>
        <v>45800</v>
      </c>
      <c r="F18" s="24" t="n">
        <f aca="false">E18/$E$30</f>
        <v>0.055295978364543</v>
      </c>
    </row>
    <row r="19" customFormat="false" ht="15" hidden="false" customHeight="false" outlineLevel="0" collapsed="false">
      <c r="A19" s="20" t="s">
        <v>59</v>
      </c>
      <c r="B19" s="21" t="n">
        <f aca="false">SUMIFS(Lancamentos!$H$2:$H$104,Lancamentos!$B$2:$B$104,"Jan/2026",Lancamentos!$D$2:$D$104,"Limpeza e Conservação")</f>
        <v>1600</v>
      </c>
      <c r="C19" s="21" t="n">
        <f aca="false">SUMIFS(Lancamentos!$H$2:$H$104,Lancamentos!$B$2:$B$104,"Fev/2026",Lancamentos!$D$2:$D$104,"Limpeza e Conservação")</f>
        <v>1600</v>
      </c>
      <c r="D19" s="21" t="n">
        <f aca="false">SUMIFS(Lancamentos!$H$2:$H$104,Lancamentos!$B$2:$B$104,"Mar/2026",Lancamentos!$D$2:$D$104,"Limpeza e Conservação")</f>
        <v>1600</v>
      </c>
      <c r="E19" s="11" t="n">
        <f aca="false">SUM(B19:D19)</f>
        <v>4800</v>
      </c>
      <c r="F19" s="24" t="n">
        <f aca="false">E19/$E$30</f>
        <v>0.00579521170632765</v>
      </c>
    </row>
    <row r="20" customFormat="false" ht="15" hidden="false" customHeight="false" outlineLevel="0" collapsed="false">
      <c r="A20" s="20" t="s">
        <v>55</v>
      </c>
      <c r="B20" s="21" t="n">
        <f aca="false">SUMIFS(Lancamentos!$H$2:$H$104,Lancamentos!$B$2:$B$104,"Jan/2026",Lancamentos!$D$2:$D$104,"Manutenção e Reparos")</f>
        <v>1900</v>
      </c>
      <c r="C20" s="21" t="n">
        <f aca="false">SUMIFS(Lancamentos!$H$2:$H$104,Lancamentos!$B$2:$B$104,"Fev/2026",Lancamentos!$D$2:$D$104,"Manutenção e Reparos")</f>
        <v>2100</v>
      </c>
      <c r="D20" s="21" t="n">
        <f aca="false">SUMIFS(Lancamentos!$H$2:$H$104,Lancamentos!$B$2:$B$104,"Mar/2026",Lancamentos!$D$2:$D$104,"Manutenção e Reparos")</f>
        <v>1800</v>
      </c>
      <c r="E20" s="11" t="n">
        <f aca="false">SUM(B20:D20)</f>
        <v>5800</v>
      </c>
      <c r="F20" s="24" t="n">
        <f aca="false">E20/$E$30</f>
        <v>0.00700254747847924</v>
      </c>
    </row>
    <row r="21" customFormat="false" ht="15" hidden="false" customHeight="false" outlineLevel="0" collapsed="false">
      <c r="A21" s="20" t="s">
        <v>66</v>
      </c>
      <c r="B21" s="21" t="n">
        <f aca="false">SUMIFS(Lancamentos!$H$2:$H$104,Lancamentos!$B$2:$B$104,"Jan/2026",Lancamentos!$D$2:$D$104,"Marketing e Publicidade")</f>
        <v>8200</v>
      </c>
      <c r="C21" s="21" t="n">
        <f aca="false">SUMIFS(Lancamentos!$H$2:$H$104,Lancamentos!$B$2:$B$104,"Fev/2026",Lancamentos!$D$2:$D$104,"Marketing e Publicidade")</f>
        <v>7600</v>
      </c>
      <c r="D21" s="21" t="n">
        <f aca="false">SUMIFS(Lancamentos!$H$2:$H$104,Lancamentos!$B$2:$B$104,"Mar/2026",Lancamentos!$D$2:$D$104,"Marketing e Publicidade")</f>
        <v>31500</v>
      </c>
      <c r="E21" s="11" t="n">
        <f aca="false">SUM(B21:D21)</f>
        <v>47300</v>
      </c>
      <c r="F21" s="24" t="n">
        <f aca="false">E21/$E$30</f>
        <v>0.0571069820227704</v>
      </c>
    </row>
    <row r="22" customFormat="false" ht="15" hidden="false" customHeight="false" outlineLevel="0" collapsed="false">
      <c r="A22" s="20" t="s">
        <v>97</v>
      </c>
      <c r="B22" s="21" t="n">
        <f aca="false">SUMIFS(Lancamentos!$H$2:$H$104,Lancamentos!$B$2:$B$104,"Jan/2026",Lancamentos!$D$2:$D$104,"Material de Embalagem")</f>
        <v>2200</v>
      </c>
      <c r="C22" s="21" t="n">
        <f aca="false">SUMIFS(Lancamentos!$H$2:$H$104,Lancamentos!$B$2:$B$104,"Fev/2026",Lancamentos!$D$2:$D$104,"Material de Embalagem")</f>
        <v>2350</v>
      </c>
      <c r="D22" s="21" t="n">
        <f aca="false">SUMIFS(Lancamentos!$H$2:$H$104,Lancamentos!$B$2:$B$104,"Mar/2026",Lancamentos!$D$2:$D$104,"Material de Embalagem")</f>
        <v>2500</v>
      </c>
      <c r="E22" s="11" t="n">
        <f aca="false">SUM(B22:D22)</f>
        <v>7050</v>
      </c>
      <c r="F22" s="24" t="n">
        <f aca="false">E22/$E$30</f>
        <v>0.00851171719366873</v>
      </c>
    </row>
    <row r="23" customFormat="false" ht="15" hidden="false" customHeight="false" outlineLevel="0" collapsed="false">
      <c r="A23" s="20" t="s">
        <v>81</v>
      </c>
      <c r="B23" s="21" t="n">
        <f aca="false">SUMIFS(Lancamentos!$H$2:$H$104,Lancamentos!$B$2:$B$104,"Jan/2026",Lancamentos!$D$2:$D$104,"Material de Escritório")</f>
        <v>720</v>
      </c>
      <c r="C23" s="21" t="n">
        <f aca="false">SUMIFS(Lancamentos!$H$2:$H$104,Lancamentos!$B$2:$B$104,"Fev/2026",Lancamentos!$D$2:$D$104,"Material de Escritório")</f>
        <v>14200</v>
      </c>
      <c r="D23" s="21" t="n">
        <f aca="false">SUMIFS(Lancamentos!$H$2:$H$104,Lancamentos!$B$2:$B$104,"Mar/2026",Lancamentos!$D$2:$D$104,"Material de Escritório")</f>
        <v>680</v>
      </c>
      <c r="E23" s="11" t="n">
        <f aca="false">SUM(B23:D23)</f>
        <v>15600</v>
      </c>
      <c r="F23" s="24" t="n">
        <f aca="false">E23/$E$30</f>
        <v>0.0188344380455649</v>
      </c>
    </row>
    <row r="24" customFormat="false" ht="15" hidden="false" customHeight="false" outlineLevel="0" collapsed="false">
      <c r="A24" s="20" t="s">
        <v>33</v>
      </c>
      <c r="B24" s="21" t="n">
        <f aca="false">SUMIFS(Lancamentos!$H$2:$H$104,Lancamentos!$B$2:$B$104,"Jan/2026",Lancamentos!$D$2:$D$104,"Mercadorias para Revenda (CMV)")</f>
        <v>125000</v>
      </c>
      <c r="C24" s="21" t="n">
        <f aca="false">SUMIFS(Lancamentos!$H$2:$H$104,Lancamentos!$B$2:$B$104,"Fev/2026",Lancamentos!$D$2:$D$104,"Mercadorias para Revenda (CMV)")</f>
        <v>119000</v>
      </c>
      <c r="D24" s="21" t="n">
        <f aca="false">SUMIFS(Lancamentos!$H$2:$H$104,Lancamentos!$B$2:$B$104,"Mar/2026",Lancamentos!$D$2:$D$104,"Mercadorias para Revenda (CMV)")</f>
        <v>116000</v>
      </c>
      <c r="E24" s="11" t="n">
        <f aca="false">SUM(B24:D24)</f>
        <v>360000</v>
      </c>
      <c r="F24" s="24" t="n">
        <f aca="false">E24/$E$30</f>
        <v>0.434640877974574</v>
      </c>
    </row>
    <row r="25" customFormat="false" ht="15" hidden="false" customHeight="false" outlineLevel="0" collapsed="false">
      <c r="A25" s="20" t="s">
        <v>61</v>
      </c>
      <c r="B25" s="21" t="n">
        <f aca="false">SUMIFS(Lancamentos!$H$2:$H$104,Lancamentos!$B$2:$B$104,"Jan/2026",Lancamentos!$D$2:$D$104,"Seguros")</f>
        <v>1350</v>
      </c>
      <c r="C25" s="21" t="n">
        <f aca="false">SUMIFS(Lancamentos!$H$2:$H$104,Lancamentos!$B$2:$B$104,"Fev/2026",Lancamentos!$D$2:$D$104,"Seguros")</f>
        <v>1350</v>
      </c>
      <c r="D25" s="21" t="n">
        <f aca="false">SUMIFS(Lancamentos!$H$2:$H$104,Lancamentos!$B$2:$B$104,"Mar/2026",Lancamentos!$D$2:$D$104,"Seguros")</f>
        <v>1350</v>
      </c>
      <c r="E25" s="11" t="n">
        <f aca="false">SUM(B25:D25)</f>
        <v>4050</v>
      </c>
      <c r="F25" s="24" t="n">
        <f aca="false">E25/$E$30</f>
        <v>0.00488970987721395</v>
      </c>
    </row>
    <row r="26" customFormat="false" ht="15" hidden="false" customHeight="false" outlineLevel="0" collapsed="false">
      <c r="A26" s="20" t="s">
        <v>23</v>
      </c>
      <c r="B26" s="21" t="n">
        <f aca="false">SUMIFS(Lancamentos!$H$2:$H$104,Lancamentos!$B$2:$B$104,"Jan/2026",Lancamentos!$D$2:$D$104,"Software e Assinaturas")</f>
        <v>1240</v>
      </c>
      <c r="C26" s="21" t="n">
        <f aca="false">SUMIFS(Lancamentos!$H$2:$H$104,Lancamentos!$B$2:$B$104,"Fev/2026",Lancamentos!$D$2:$D$104,"Software e Assinaturas")</f>
        <v>1240</v>
      </c>
      <c r="D26" s="21" t="n">
        <f aca="false">SUMIFS(Lancamentos!$H$2:$H$104,Lancamentos!$B$2:$B$104,"Mar/2026",Lancamentos!$D$2:$D$104,"Software e Assinaturas")</f>
        <v>1240</v>
      </c>
      <c r="E26" s="11" t="n">
        <f aca="false">SUM(B26:D26)</f>
        <v>3720</v>
      </c>
      <c r="F26" s="24" t="n">
        <f aca="false">E26/$E$30</f>
        <v>0.00449128907240393</v>
      </c>
    </row>
    <row r="27" customFormat="false" ht="15" hidden="false" customHeight="false" outlineLevel="0" collapsed="false">
      <c r="A27" s="20" t="s">
        <v>102</v>
      </c>
      <c r="B27" s="21" t="n">
        <f aca="false">SUMIFS(Lancamentos!$H$2:$H$104,Lancamentos!$B$2:$B$104,"Jan/2026",Lancamentos!$D$2:$D$104,"Taxas de Cartão/Maquininha")</f>
        <v>6700</v>
      </c>
      <c r="C27" s="21" t="n">
        <f aca="false">SUMIFS(Lancamentos!$H$2:$H$104,Lancamentos!$B$2:$B$104,"Fev/2026",Lancamentos!$D$2:$D$104,"Taxas de Cartão/Maquininha")</f>
        <v>6650</v>
      </c>
      <c r="D27" s="21" t="n">
        <f aca="false">SUMIFS(Lancamentos!$H$2:$H$104,Lancamentos!$B$2:$B$104,"Mar/2026",Lancamentos!$D$2:$D$104,"Taxas de Cartão/Maquininha")</f>
        <v>6500</v>
      </c>
      <c r="E27" s="11" t="n">
        <f aca="false">SUM(B27:D27)</f>
        <v>19850</v>
      </c>
      <c r="F27" s="24" t="n">
        <f aca="false">E27/$E$30</f>
        <v>0.0239656150772091</v>
      </c>
    </row>
    <row r="28" customFormat="false" ht="15" hidden="false" customHeight="false" outlineLevel="0" collapsed="false">
      <c r="A28" s="20" t="s">
        <v>53</v>
      </c>
      <c r="B28" s="21" t="n">
        <f aca="false">SUMIFS(Lancamentos!$H$2:$H$104,Lancamentos!$B$2:$B$104,"Jan/2026",Lancamentos!$D$2:$D$104,"Telefone e Internet")</f>
        <v>1450</v>
      </c>
      <c r="C28" s="21" t="n">
        <f aca="false">SUMIFS(Lancamentos!$H$2:$H$104,Lancamentos!$B$2:$B$104,"Fev/2026",Lancamentos!$D$2:$D$104,"Telefone e Internet")</f>
        <v>1450</v>
      </c>
      <c r="D28" s="21" t="n">
        <f aca="false">SUMIFS(Lancamentos!$H$2:$H$104,Lancamentos!$B$2:$B$104,"Mar/2026",Lancamentos!$D$2:$D$104,"Telefone e Internet")</f>
        <v>1450</v>
      </c>
      <c r="E28" s="11" t="n">
        <f aca="false">SUM(B28:D28)</f>
        <v>4350</v>
      </c>
      <c r="F28" s="24" t="n">
        <f aca="false">E28/$E$30</f>
        <v>0.00525191060885943</v>
      </c>
    </row>
    <row r="29" customFormat="false" ht="15" hidden="false" customHeight="false" outlineLevel="0" collapsed="false">
      <c r="A29" s="20" t="s">
        <v>78</v>
      </c>
      <c r="B29" s="21" t="n">
        <f aca="false">SUMIFS(Lancamentos!$H$2:$H$104,Lancamentos!$B$2:$B$104,"Jan/2026",Lancamentos!$D$2:$D$104,"Água e Esgoto")</f>
        <v>980</v>
      </c>
      <c r="C29" s="21" t="n">
        <f aca="false">SUMIFS(Lancamentos!$H$2:$H$104,Lancamentos!$B$2:$B$104,"Fev/2026",Lancamentos!$D$2:$D$104,"Água e Esgoto")</f>
        <v>1020</v>
      </c>
      <c r="D29" s="21" t="n">
        <f aca="false">SUMIFS(Lancamentos!$H$2:$H$104,Lancamentos!$B$2:$B$104,"Mar/2026",Lancamentos!$D$2:$D$104,"Água e Esgoto")</f>
        <v>1010</v>
      </c>
      <c r="E29" s="11" t="n">
        <f aca="false">SUM(B29:D29)</f>
        <v>3010</v>
      </c>
      <c r="F29" s="24" t="n">
        <f aca="false">E29/$E$30</f>
        <v>0.0036340806741763</v>
      </c>
    </row>
    <row r="30" customFormat="false" ht="15" hidden="false" customHeight="false" outlineLevel="0" collapsed="false">
      <c r="A30" s="13" t="s">
        <v>183</v>
      </c>
      <c r="B30" s="22" t="n">
        <f aca="false">SUM(B10:B29)</f>
        <v>248620</v>
      </c>
      <c r="C30" s="22" t="n">
        <f aca="false">SUM(C10:C29)</f>
        <v>258770</v>
      </c>
      <c r="D30" s="22" t="n">
        <f aca="false">SUM(D10:D29)</f>
        <v>320880</v>
      </c>
      <c r="E30" s="22" t="n">
        <f aca="false">SUM(E10:E29)</f>
        <v>828270</v>
      </c>
      <c r="F30" s="25" t="n">
        <f aca="false">E30/$E$30</f>
        <v>1</v>
      </c>
    </row>
    <row r="31" customFormat="false" ht="15" hidden="false" customHeight="false" outlineLevel="0" collapsed="false">
      <c r="B31" s="23"/>
      <c r="C31" s="23"/>
      <c r="D31" s="23"/>
      <c r="E31" s="23"/>
    </row>
    <row r="32" customFormat="false" ht="15" hidden="false" customHeight="false" outlineLevel="0" collapsed="false">
      <c r="A32" s="26" t="s">
        <v>190</v>
      </c>
      <c r="B32" s="27" t="n">
        <f aca="false">B7-B30</f>
        <v>19380</v>
      </c>
      <c r="C32" s="27" t="n">
        <f aca="false">C7-C30</f>
        <v>-3770</v>
      </c>
      <c r="D32" s="27" t="n">
        <f aca="false">D7-D30</f>
        <v>-79880</v>
      </c>
      <c r="E32" s="27" t="n">
        <f aca="false">E7-E30</f>
        <v>-64270</v>
      </c>
    </row>
    <row r="33" customFormat="false" ht="15" hidden="false" customHeight="false" outlineLevel="0" collapsed="false">
      <c r="A33" s="28" t="s">
        <v>191</v>
      </c>
      <c r="B33" s="29" t="n">
        <f aca="false">IF(B7=0,0,B32/B7)</f>
        <v>0.0723134328358209</v>
      </c>
      <c r="C33" s="29" t="n">
        <f aca="false">IF(C7=0,0,C32/C7)</f>
        <v>-0.0147843137254902</v>
      </c>
      <c r="D33" s="29" t="n">
        <f aca="false">IF(D7=0,0,D32/D7)</f>
        <v>-0.331452282157676</v>
      </c>
      <c r="E33" s="29" t="n">
        <f aca="false">IF(E7=0,0,E32/E7)</f>
        <v>-0.0841230366492147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80"/>
  </cols>
  <sheetData>
    <row r="1" customFormat="false" ht="17.35" hidden="false" customHeight="false" outlineLevel="0" collapsed="false">
      <c r="B1" s="30" t="s">
        <v>192</v>
      </c>
    </row>
    <row r="2" customFormat="false" ht="15" hidden="false" customHeight="false" outlineLevel="0" collapsed="false">
      <c r="B2" s="31" t="s">
        <v>193</v>
      </c>
    </row>
    <row r="4" customFormat="false" ht="15" hidden="false" customHeight="false" outlineLevel="0" collapsed="false">
      <c r="B4" s="32" t="s">
        <v>194</v>
      </c>
      <c r="C4" s="32" t="s">
        <v>195</v>
      </c>
      <c r="D4" s="33" t="s">
        <v>196</v>
      </c>
    </row>
    <row r="5" customFormat="false" ht="30" hidden="false" customHeight="true" outlineLevel="0" collapsed="false">
      <c r="B5" s="34" t="s">
        <v>197</v>
      </c>
      <c r="C5" s="35" t="s">
        <v>198</v>
      </c>
    </row>
    <row r="6" customFormat="false" ht="30" hidden="false" customHeight="true" outlineLevel="0" collapsed="false">
      <c r="B6" s="34" t="s">
        <v>197</v>
      </c>
      <c r="C6" s="35" t="s">
        <v>199</v>
      </c>
    </row>
    <row r="7" customFormat="false" ht="30" hidden="false" customHeight="true" outlineLevel="0" collapsed="false">
      <c r="B7" s="34" t="s">
        <v>197</v>
      </c>
      <c r="C7" s="35" t="s">
        <v>200</v>
      </c>
    </row>
    <row r="8" customFormat="false" ht="30" hidden="false" customHeight="true" outlineLevel="0" collapsed="false">
      <c r="B8" s="34" t="s">
        <v>197</v>
      </c>
      <c r="C8" s="35" t="s">
        <v>201</v>
      </c>
    </row>
    <row r="9" customFormat="false" ht="30" hidden="false" customHeight="true" outlineLevel="0" collapsed="false">
      <c r="B9" s="34" t="s">
        <v>197</v>
      </c>
      <c r="C9" s="35" t="s">
        <v>202</v>
      </c>
    </row>
    <row r="10" customFormat="false" ht="30" hidden="false" customHeight="true" outlineLevel="0" collapsed="false">
      <c r="B10" s="34" t="s">
        <v>203</v>
      </c>
      <c r="C10" s="35" t="s">
        <v>204</v>
      </c>
    </row>
    <row r="11" customFormat="false" ht="30" hidden="false" customHeight="true" outlineLevel="0" collapsed="false">
      <c r="B11" s="34" t="s">
        <v>203</v>
      </c>
      <c r="C11" s="35" t="s">
        <v>205</v>
      </c>
    </row>
    <row r="12" customFormat="false" ht="30" hidden="false" customHeight="true" outlineLevel="0" collapsed="false">
      <c r="B12" s="34" t="s">
        <v>203</v>
      </c>
      <c r="C12" s="35" t="s">
        <v>206</v>
      </c>
    </row>
    <row r="13" customFormat="false" ht="30" hidden="false" customHeight="true" outlineLevel="0" collapsed="false">
      <c r="B13" s="34" t="s">
        <v>207</v>
      </c>
      <c r="C13" s="35" t="s">
        <v>208</v>
      </c>
    </row>
    <row r="14" customFormat="false" ht="30" hidden="false" customHeight="true" outlineLevel="0" collapsed="false">
      <c r="B14" s="34" t="s">
        <v>209</v>
      </c>
      <c r="C14" s="3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2026-06-19T21:11:40Z</dcterms:created>
  <dc:creator>openpyxl</dc:creator>
  <dc:description/>
  <dc:language>en-US</dc:language>
  <cp:lastModifiedBy/>
  <dcterms:modified xsi:type="dcterms:W3CDTF">2026-06-19T21:11:41Z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